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mmu\Downloads\"/>
    </mc:Choice>
  </mc:AlternateContent>
  <xr:revisionPtr revIDLastSave="0" documentId="13_ncr:1_{E495C914-08E4-4638-BF46-950630E8EC4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Sheet1" sheetId="3" r:id="rId3"/>
  </sheets>
  <definedNames>
    <definedName name="_xlnm._FilterDatabase" localSheetId="2" hidden="1">Sheet1!$E$1:$N$35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S6" i="3" l="1"/>
  <c r="S10" i="3"/>
  <c r="S14" i="3"/>
  <c r="S18" i="3"/>
  <c r="S22" i="3"/>
  <c r="S26" i="3"/>
  <c r="S30" i="3"/>
  <c r="Q3" i="3"/>
  <c r="Q7" i="3"/>
  <c r="Q11" i="3"/>
  <c r="Q15" i="3"/>
  <c r="Q19" i="3"/>
  <c r="Q23" i="3"/>
  <c r="Q27" i="3"/>
  <c r="Q3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S3" i="3" s="1"/>
  <c r="O4" i="3"/>
  <c r="S4" i="3" s="1"/>
  <c r="O5" i="3"/>
  <c r="S5" i="3" s="1"/>
  <c r="O6" i="3"/>
  <c r="O7" i="3"/>
  <c r="S7" i="3" s="1"/>
  <c r="O8" i="3"/>
  <c r="S8" i="3" s="1"/>
  <c r="O9" i="3"/>
  <c r="S9" i="3" s="1"/>
  <c r="O10" i="3"/>
  <c r="O11" i="3"/>
  <c r="S11" i="3" s="1"/>
  <c r="O12" i="3"/>
  <c r="S12" i="3" s="1"/>
  <c r="O13" i="3"/>
  <c r="S13" i="3" s="1"/>
  <c r="O14" i="3"/>
  <c r="O15" i="3"/>
  <c r="S15" i="3" s="1"/>
  <c r="O16" i="3"/>
  <c r="S16" i="3" s="1"/>
  <c r="O17" i="3"/>
  <c r="S17" i="3" s="1"/>
  <c r="O18" i="3"/>
  <c r="O19" i="3"/>
  <c r="S19" i="3" s="1"/>
  <c r="O20" i="3"/>
  <c r="S20" i="3" s="1"/>
  <c r="O21" i="3"/>
  <c r="S21" i="3" s="1"/>
  <c r="O22" i="3"/>
  <c r="O23" i="3"/>
  <c r="S23" i="3" s="1"/>
  <c r="O24" i="3"/>
  <c r="S24" i="3" s="1"/>
  <c r="O25" i="3"/>
  <c r="S25" i="3" s="1"/>
  <c r="O26" i="3"/>
  <c r="O27" i="3"/>
  <c r="S27" i="3" s="1"/>
  <c r="O28" i="3"/>
  <c r="S28" i="3" s="1"/>
  <c r="O29" i="3"/>
  <c r="S29" i="3" s="1"/>
  <c r="O30" i="3"/>
  <c r="O31" i="3"/>
  <c r="S31" i="3" s="1"/>
  <c r="O32" i="3"/>
  <c r="S32" i="3" s="1"/>
  <c r="O2" i="3"/>
  <c r="S2" i="3" s="1"/>
  <c r="M3" i="3"/>
  <c r="M4" i="3"/>
  <c r="Q4" i="3" s="1"/>
  <c r="M5" i="3"/>
  <c r="Q5" i="3" s="1"/>
  <c r="M6" i="3"/>
  <c r="Q6" i="3" s="1"/>
  <c r="M7" i="3"/>
  <c r="M8" i="3"/>
  <c r="Q8" i="3" s="1"/>
  <c r="M9" i="3"/>
  <c r="Q9" i="3" s="1"/>
  <c r="M10" i="3"/>
  <c r="Q10" i="3" s="1"/>
  <c r="M11" i="3"/>
  <c r="M12" i="3"/>
  <c r="Q12" i="3" s="1"/>
  <c r="M13" i="3"/>
  <c r="Q13" i="3" s="1"/>
  <c r="M14" i="3"/>
  <c r="Q14" i="3" s="1"/>
  <c r="M15" i="3"/>
  <c r="M16" i="3"/>
  <c r="Q16" i="3" s="1"/>
  <c r="M17" i="3"/>
  <c r="Q17" i="3" s="1"/>
  <c r="M18" i="3"/>
  <c r="Q18" i="3" s="1"/>
  <c r="M19" i="3"/>
  <c r="M20" i="3"/>
  <c r="Q20" i="3" s="1"/>
  <c r="M21" i="3"/>
  <c r="Q21" i="3" s="1"/>
  <c r="M22" i="3"/>
  <c r="Q22" i="3" s="1"/>
  <c r="M23" i="3"/>
  <c r="M24" i="3"/>
  <c r="Q24" i="3" s="1"/>
  <c r="M25" i="3"/>
  <c r="Q25" i="3" s="1"/>
  <c r="M26" i="3"/>
  <c r="Q26" i="3" s="1"/>
  <c r="M27" i="3"/>
  <c r="M28" i="3"/>
  <c r="Q28" i="3" s="1"/>
  <c r="M29" i="3"/>
  <c r="Q29" i="3" s="1"/>
  <c r="M30" i="3"/>
  <c r="Q30" i="3" s="1"/>
  <c r="M31" i="3"/>
  <c r="M32" i="3"/>
  <c r="Q32" i="3" s="1"/>
  <c r="M2" i="3"/>
  <c r="Q2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C5" i="3"/>
</calcChain>
</file>

<file path=xl/sharedStrings.xml><?xml version="1.0" encoding="utf-8"?>
<sst xmlns="http://schemas.openxmlformats.org/spreadsheetml/2006/main" count="351" uniqueCount="136">
  <si>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</si>
  <si>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</si>
  <si>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</si>
  <si>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</si>
  <si>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</si>
  <si>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</si>
  <si>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</si>
  <si>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</si>
  <si>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</si>
  <si>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</si>
  <si>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</si>
  <si>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</si>
  <si>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</si>
  <si>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</si>
  <si>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</si>
  <si>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</si>
  <si>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</si>
  <si>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</si>
  <si>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</si>
  <si>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</si>
  <si>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</si>
  <si>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</si>
  <si>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</si>
  <si>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</si>
  <si>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</si>
  <si>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</si>
  <si>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</si>
  <si>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</si>
  <si>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</si>
  <si>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</si>
  <si>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</si>
  <si>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</si>
  <si>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</si>
  <si>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</si>
  <si>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</si>
  <si>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</si>
  <si>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</si>
  <si>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</si>
  <si>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</si>
  <si>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</si>
  <si>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</si>
  <si>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</si>
  <si>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</si>
  <si>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</si>
  <si>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</si>
  <si>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</si>
  <si>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</si>
  <si>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</si>
  <si>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</si>
  <si>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</si>
  <si>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</si>
  <si>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</si>
  <si>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</si>
  <si>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</si>
  <si>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</si>
  <si>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</si>
  <si>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</si>
  <si>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</si>
  <si>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</si>
  <si>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</si>
  <si>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</si>
  <si>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</si>
  <si>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</si>
  <si>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</si>
  <si>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</si>
  <si>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</si>
  <si>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</si>
  <si>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</si>
  <si>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</si>
  <si>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</si>
  <si>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</si>
  <si>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</si>
  <si>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</si>
  <si>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</si>
  <si>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</si>
  <si>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</si>
  <si>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</si>
  <si>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</si>
  <si>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</si>
  <si>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</si>
  <si>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</si>
  <si>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</si>
  <si>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</si>
  <si>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</si>
  <si>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</si>
  <si>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</si>
  <si>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</si>
  <si>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</si>
  <si>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</si>
  <si>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</si>
  <si>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</si>
  <si>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</si>
  <si>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</si>
  <si>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</si>
  <si>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</si>
  <si>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</si>
  <si>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</si>
  <si>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</si>
  <si>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</si>
  <si>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</si>
  <si>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</si>
  <si>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</si>
  <si>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</si>
  <si>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</si>
  <si>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</si>
  <si>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</si>
  <si>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</si>
  <si>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</si>
  <si>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</si>
  <si>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</si>
  <si>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</si>
  <si>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</si>
  <si>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</si>
  <si>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</si>
  <si>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</si>
  <si>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</si>
  <si>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Price</t>
  </si>
  <si>
    <t>there are 3 missing values in the price column. As it is a number we can the median formula for the missing values</t>
  </si>
  <si>
    <t>Missing value</t>
  </si>
  <si>
    <t>Formula will be : Median(value range)</t>
  </si>
  <si>
    <t>cells with blanks will be replaced by 130</t>
  </si>
  <si>
    <t>updated Category</t>
  </si>
  <si>
    <t>As its not a number value we can replace it with naming - missing category</t>
  </si>
  <si>
    <t>Product name_corrected</t>
  </si>
  <si>
    <r>
      <t>Find and Replace (Ctrl + H):</t>
    </r>
    <r>
      <rPr>
        <sz val="11"/>
        <color rgb="FF1F1F1F"/>
        <rFont val="Arial"/>
        <family val="2"/>
        <scheme val="minor"/>
      </rPr>
      <t xml:space="preserve"> </t>
    </r>
  </si>
  <si>
    <t>PROPER()</t>
  </si>
  <si>
    <t>Category spelling corrected</t>
  </si>
  <si>
    <t>Missing Category</t>
  </si>
  <si>
    <t>3 duplicates found and removed</t>
  </si>
  <si>
    <t xml:space="preserve"> Manufacturing Date</t>
  </si>
  <si>
    <t>Country Code</t>
  </si>
  <si>
    <t>Product Brand</t>
  </si>
  <si>
    <t>Left and right formula used</t>
  </si>
  <si>
    <t>Concatenate formula used</t>
  </si>
  <si>
    <t>Year</t>
  </si>
  <si>
    <t xml:space="preserve"> Manufacturing Date_corrected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</si>
</sst>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&quot;₹&quot;\ #,##0.00"/>
    <numFmt numFmtId="172" formatCode="[$-14009]dd/mm/yyyy;@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1"/>
      <color rgb="FF1F1F1F"/>
      <name val="Arial"/>
      <family val="2"/>
      <scheme val="minor"/>
    </font>
    <font>
      <sz val="11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3" fillId="0" borderId="0" xfId="0" applyFont="1" applyAlignment="1">
      <alignment wrapText="1"/>
    </xf>
    <xf numFmtId="0" fontId="8" fillId="0" borderId="0" xfId="0" applyFont="1"/>
    <xf numFmtId="0" fontId="11" fillId="0" borderId="0" xfId="0" applyFont="1"/>
    <xf numFmtId="0" fontId="10" fillId="0" borderId="0" xfId="0" applyFont="1"/>
    <xf numFmtId="0" fontId="12" fillId="2" borderId="0" xfId="0" applyFont="1" applyFill="1" applyAlignment="1">
      <alignment horizontal="center"/>
    </xf>
    <xf numFmtId="0" fontId="13" fillId="0" borderId="0" xfId="0" applyFont="1"/>
    <xf numFmtId="170" fontId="5" fillId="0" borderId="0" xfId="0" applyNumberFormat="1" applyFont="1"/>
    <xf numFmtId="170" fontId="5" fillId="3" borderId="0" xfId="0" applyNumberFormat="1" applyFont="1" applyFill="1"/>
    <xf numFmtId="14" fontId="5" fillId="0" borderId="0" xfId="0" applyNumberFormat="1" applyFont="1"/>
    <xf numFmtId="17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6" workbookViewId="0">
      <selection activeCell="B23" sqref="B23:C25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F35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0E4-8D8C-474E-A94D-C67F8A6CB996}">
  <dimension ref="A1:S44"/>
  <sheetViews>
    <sheetView tabSelected="1" zoomScale="85" zoomScaleNormal="85" workbookViewId="0">
      <selection activeCell="B16" sqref="B16"/>
    </sheetView>
  </sheetViews>
  <sheetFormatPr defaultRowHeight="12.5" x14ac:dyDescent="0.25"/>
  <cols>
    <col min="2" max="2" width="111" bestFit="1" customWidth="1"/>
    <col min="3" max="4" width="21" customWidth="1"/>
    <col min="5" max="5" width="10.6328125" bestFit="1" customWidth="1"/>
    <col min="6" max="6" width="13.81640625" bestFit="1" customWidth="1"/>
    <col min="7" max="7" width="11.90625" bestFit="1" customWidth="1"/>
    <col min="10" max="10" width="10.7265625" bestFit="1" customWidth="1"/>
    <col min="11" max="11" width="12.36328125" bestFit="1" customWidth="1"/>
    <col min="12" max="12" width="17.26953125" bestFit="1" customWidth="1"/>
    <col min="13" max="13" width="22.36328125" bestFit="1" customWidth="1"/>
    <col min="14" max="14" width="24.90625" bestFit="1" customWidth="1"/>
    <col min="15" max="15" width="17.08984375" bestFit="1" customWidth="1"/>
    <col min="17" max="17" width="21.6328125" bestFit="1" customWidth="1"/>
    <col min="19" max="19" width="27.90625" bestFit="1" customWidth="1"/>
  </cols>
  <sheetData>
    <row r="1" spans="1:19" ht="15" x14ac:dyDescent="0.3">
      <c r="A1" s="2" t="s">
        <v>1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116</v>
      </c>
      <c r="L1" s="7" t="s">
        <v>121</v>
      </c>
      <c r="M1" s="7" t="s">
        <v>123</v>
      </c>
      <c r="N1" s="7" t="s">
        <v>126</v>
      </c>
      <c r="O1" s="7" t="s">
        <v>129</v>
      </c>
      <c r="P1" s="7" t="s">
        <v>130</v>
      </c>
      <c r="Q1" s="13" t="s">
        <v>131</v>
      </c>
      <c r="R1" s="13" t="s">
        <v>134</v>
      </c>
      <c r="S1" s="13" t="s">
        <v>135</v>
      </c>
    </row>
    <row r="2" spans="1:19" ht="15.5" x14ac:dyDescent="0.35">
      <c r="B2" s="9" t="s">
        <v>2</v>
      </c>
      <c r="C2" s="3"/>
      <c r="D2" s="3"/>
      <c r="E2" s="5" t="s">
        <v>25</v>
      </c>
      <c r="F2" s="5" t="s">
        <v>26</v>
      </c>
      <c r="G2" s="5" t="s">
        <v>27</v>
      </c>
      <c r="H2" s="5">
        <v>1000</v>
      </c>
      <c r="I2" s="5">
        <v>30</v>
      </c>
      <c r="J2" s="5" t="s">
        <v>28</v>
      </c>
      <c r="K2" s="15">
        <f>IF(H2="", MEDIAN($H$2:$H$35),H2)</f>
        <v>1000</v>
      </c>
      <c r="L2" s="5" t="str">
        <f>IF(J2="","Missing Category",J2)</f>
        <v>Electronics</v>
      </c>
      <c r="M2" s="5" t="str">
        <f>PROPER(F2)</f>
        <v>Laptop</v>
      </c>
      <c r="N2" s="5" t="s">
        <v>28</v>
      </c>
      <c r="O2" s="17" t="str">
        <f>LEFT(E2,6)</f>
        <v>28-JAN</v>
      </c>
      <c r="P2" s="5" t="str">
        <f>RIGHT(E2,2)</f>
        <v>US</v>
      </c>
      <c r="Q2" t="str">
        <f>_xlfn.CONCAT(G2,"_",M2)</f>
        <v>Dell_Laptop</v>
      </c>
      <c r="R2">
        <v>2026</v>
      </c>
      <c r="S2" s="18" t="str">
        <f>_xlfn.CONCAT(O2,"-",R2)</f>
        <v>28-JAN-2026</v>
      </c>
    </row>
    <row r="3" spans="1:19" ht="15.5" x14ac:dyDescent="0.35">
      <c r="A3" s="4"/>
      <c r="B3" t="s">
        <v>117</v>
      </c>
      <c r="C3" s="3"/>
      <c r="D3" s="3"/>
      <c r="E3" s="8" t="s">
        <v>29</v>
      </c>
      <c r="F3" s="8" t="s">
        <v>30</v>
      </c>
      <c r="G3" s="8" t="s">
        <v>31</v>
      </c>
      <c r="H3" s="8">
        <v>80</v>
      </c>
      <c r="I3" s="8">
        <v>15</v>
      </c>
      <c r="J3" s="8" t="s">
        <v>32</v>
      </c>
      <c r="K3" s="16">
        <f>IF(H3="", MEDIAN($H$2:$H$35),H3)</f>
        <v>80</v>
      </c>
      <c r="L3" s="8" t="str">
        <f>IF(J3="","Missing Category",J3)</f>
        <v>Fashion</v>
      </c>
      <c r="M3" s="8" t="str">
        <f>PROPER(F3)</f>
        <v>Sneakers</v>
      </c>
      <c r="N3" s="8" t="s">
        <v>32</v>
      </c>
      <c r="O3" s="17" t="str">
        <f t="shared" ref="O3:O32" si="0">LEFT(E3,6)</f>
        <v>15-FEB</v>
      </c>
      <c r="P3" s="5" t="str">
        <f t="shared" ref="P3:P32" si="1">RIGHT(E3,2)</f>
        <v>US</v>
      </c>
      <c r="Q3" t="str">
        <f t="shared" ref="Q3:Q32" si="2">_xlfn.CONCAT(G3,"_",M3)</f>
        <v>Nike_Sneakers</v>
      </c>
      <c r="R3">
        <v>2026</v>
      </c>
      <c r="S3" s="18" t="str">
        <f t="shared" ref="S3:S32" si="3">_xlfn.CONCAT(O3,"-",R3)</f>
        <v>15-FEB-2026</v>
      </c>
    </row>
    <row r="4" spans="1:19" x14ac:dyDescent="0.25">
      <c r="B4" t="s">
        <v>119</v>
      </c>
      <c r="E4" s="5" t="s">
        <v>33</v>
      </c>
      <c r="F4" s="5" t="s">
        <v>34</v>
      </c>
      <c r="G4" s="5" t="s">
        <v>35</v>
      </c>
      <c r="H4" s="5">
        <v>130</v>
      </c>
      <c r="I4" s="5">
        <v>40</v>
      </c>
      <c r="J4" s="5" t="s">
        <v>36</v>
      </c>
      <c r="K4" s="15">
        <f>IF(H4="", MEDIAN($H$2:$H$35),H4)</f>
        <v>130</v>
      </c>
      <c r="L4" s="5" t="str">
        <f>IF(J4="","Missing Category",J4)</f>
        <v>Kitchen</v>
      </c>
      <c r="M4" s="5" t="str">
        <f>PROPER(F4)</f>
        <v>Coffee Maker</v>
      </c>
      <c r="N4" s="5" t="s">
        <v>36</v>
      </c>
      <c r="O4" s="17" t="str">
        <f t="shared" si="0"/>
        <v>03-MAR</v>
      </c>
      <c r="P4" s="5" t="str">
        <f t="shared" si="1"/>
        <v>US</v>
      </c>
      <c r="Q4" t="str">
        <f t="shared" si="2"/>
        <v>Keurig_Coffee Maker</v>
      </c>
      <c r="R4">
        <v>2026</v>
      </c>
      <c r="S4" s="18" t="str">
        <f t="shared" si="3"/>
        <v>03-MAR-2026</v>
      </c>
    </row>
    <row r="5" spans="1:19" x14ac:dyDescent="0.25">
      <c r="B5" t="s">
        <v>118</v>
      </c>
      <c r="C5">
        <f>MEDIAN(H2:H35)</f>
        <v>130</v>
      </c>
      <c r="E5" s="8" t="s">
        <v>37</v>
      </c>
      <c r="F5" s="8" t="s">
        <v>38</v>
      </c>
      <c r="G5" s="8" t="s">
        <v>39</v>
      </c>
      <c r="H5" s="8">
        <v>900</v>
      </c>
      <c r="I5" s="8">
        <v>25</v>
      </c>
      <c r="J5" s="8" t="s">
        <v>28</v>
      </c>
      <c r="K5" s="16">
        <f>IF(H5="", MEDIAN($H$2:$H$35),H5)</f>
        <v>900</v>
      </c>
      <c r="L5" s="8" t="str">
        <f>IF(J5="","Missing Category",J5)</f>
        <v>Electronics</v>
      </c>
      <c r="M5" s="8" t="str">
        <f>PROPER(F5)</f>
        <v>Smartphone</v>
      </c>
      <c r="N5" s="8" t="s">
        <v>28</v>
      </c>
      <c r="O5" s="17" t="str">
        <f t="shared" si="0"/>
        <v>11-APR</v>
      </c>
      <c r="P5" s="5" t="str">
        <f t="shared" si="1"/>
        <v>US</v>
      </c>
      <c r="Q5" t="str">
        <f t="shared" si="2"/>
        <v>Samsung_Smartphone</v>
      </c>
      <c r="R5">
        <v>2026</v>
      </c>
      <c r="S5" s="18" t="str">
        <f t="shared" si="3"/>
        <v>11-APR-2026</v>
      </c>
    </row>
    <row r="6" spans="1:19" x14ac:dyDescent="0.25">
      <c r="E6" s="5" t="s">
        <v>40</v>
      </c>
      <c r="F6" s="5" t="s">
        <v>41</v>
      </c>
      <c r="G6" s="5" t="s">
        <v>42</v>
      </c>
      <c r="H6" s="5">
        <v>70</v>
      </c>
      <c r="I6" s="5">
        <v>20</v>
      </c>
      <c r="J6" s="5"/>
      <c r="K6" s="15">
        <f>IF(H6="", MEDIAN($H$2:$H$35),H6)</f>
        <v>70</v>
      </c>
      <c r="L6" s="5" t="str">
        <f>IF(J6="","Missing Category",J6)</f>
        <v>Missing Category</v>
      </c>
      <c r="M6" s="5" t="str">
        <f>PROPER(F6)</f>
        <v>Backpack</v>
      </c>
      <c r="N6" s="5" t="s">
        <v>127</v>
      </c>
      <c r="O6" s="17" t="str">
        <f t="shared" si="0"/>
        <v>22-MAY</v>
      </c>
      <c r="P6" s="5" t="str">
        <f t="shared" si="1"/>
        <v>US</v>
      </c>
      <c r="Q6" t="str">
        <f t="shared" si="2"/>
        <v>North Face_Backpack</v>
      </c>
      <c r="R6">
        <v>2026</v>
      </c>
      <c r="S6" s="18" t="str">
        <f t="shared" si="3"/>
        <v>22-MAY-2026</v>
      </c>
    </row>
    <row r="7" spans="1:19" x14ac:dyDescent="0.25">
      <c r="B7" t="s">
        <v>120</v>
      </c>
      <c r="E7" s="8" t="s">
        <v>43</v>
      </c>
      <c r="F7" s="8" t="s">
        <v>44</v>
      </c>
      <c r="G7" s="8" t="s">
        <v>45</v>
      </c>
      <c r="H7" s="8"/>
      <c r="I7" s="8">
        <v>45</v>
      </c>
      <c r="J7" s="8" t="s">
        <v>46</v>
      </c>
      <c r="K7" s="16">
        <f>IF(H7="", MEDIAN($H$2:$H$35),H7)</f>
        <v>130</v>
      </c>
      <c r="L7" s="8" t="str">
        <f>IF(J7="","Missing Category",J7)</f>
        <v>Electroni</v>
      </c>
      <c r="M7" s="8" t="str">
        <f>PROPER(F7)</f>
        <v>Headphones</v>
      </c>
      <c r="N7" s="8" t="s">
        <v>28</v>
      </c>
      <c r="O7" s="17" t="str">
        <f t="shared" si="0"/>
        <v>07-JUN</v>
      </c>
      <c r="P7" s="5" t="str">
        <f t="shared" si="1"/>
        <v>UK</v>
      </c>
      <c r="Q7" t="str">
        <f t="shared" si="2"/>
        <v>Sony_Headphones</v>
      </c>
      <c r="R7">
        <v>2026</v>
      </c>
      <c r="S7" s="18" t="str">
        <f t="shared" si="3"/>
        <v>07-JUN-2026</v>
      </c>
    </row>
    <row r="8" spans="1:19" x14ac:dyDescent="0.25">
      <c r="E8" s="5" t="s">
        <v>47</v>
      </c>
      <c r="F8" s="5" t="s">
        <v>48</v>
      </c>
      <c r="G8" s="5" t="s">
        <v>49</v>
      </c>
      <c r="H8" s="5">
        <v>30</v>
      </c>
      <c r="I8" s="5">
        <v>5</v>
      </c>
      <c r="J8" s="5" t="s">
        <v>32</v>
      </c>
      <c r="K8" s="15">
        <f>IF(H8="", MEDIAN($H$2:$H$35),H8)</f>
        <v>30</v>
      </c>
      <c r="L8" s="5" t="str">
        <f>IF(J8="","Missing Category",J8)</f>
        <v>Fashion</v>
      </c>
      <c r="M8" s="5" t="str">
        <f>PROPER(F8)</f>
        <v>T-Shirt</v>
      </c>
      <c r="N8" s="5" t="s">
        <v>32</v>
      </c>
      <c r="O8" s="17" t="str">
        <f t="shared" si="0"/>
        <v>19-JUL</v>
      </c>
      <c r="P8" s="5" t="str">
        <f t="shared" si="1"/>
        <v>UK</v>
      </c>
      <c r="Q8" t="str">
        <f t="shared" si="2"/>
        <v>Adidas_T-Shirt</v>
      </c>
      <c r="R8">
        <v>2026</v>
      </c>
      <c r="S8" s="18" t="str">
        <f t="shared" si="3"/>
        <v>19-JUL-2026</v>
      </c>
    </row>
    <row r="9" spans="1:19" ht="15.5" x14ac:dyDescent="0.35">
      <c r="B9" s="9" t="s">
        <v>3</v>
      </c>
      <c r="E9" s="8" t="s">
        <v>50</v>
      </c>
      <c r="F9" s="8" t="s">
        <v>51</v>
      </c>
      <c r="G9" s="8" t="s">
        <v>52</v>
      </c>
      <c r="H9" s="8">
        <v>90</v>
      </c>
      <c r="I9" s="8">
        <v>35</v>
      </c>
      <c r="J9" s="8" t="s">
        <v>36</v>
      </c>
      <c r="K9" s="16">
        <f>IF(H9="", MEDIAN($H$2:$H$35),H9)</f>
        <v>90</v>
      </c>
      <c r="L9" s="8" t="str">
        <f>IF(J9="","Missing Category",J9)</f>
        <v>Kitchen</v>
      </c>
      <c r="M9" s="8" t="str">
        <f>PROPER(F9)</f>
        <v>Blender</v>
      </c>
      <c r="N9" s="8" t="s">
        <v>36</v>
      </c>
      <c r="O9" s="17" t="str">
        <f t="shared" si="0"/>
        <v>23-AUG</v>
      </c>
      <c r="P9" s="5" t="str">
        <f t="shared" si="1"/>
        <v>UK</v>
      </c>
      <c r="Q9" t="str">
        <f t="shared" si="2"/>
        <v>Ninja_Blender</v>
      </c>
      <c r="R9">
        <v>2026</v>
      </c>
      <c r="S9" s="18" t="str">
        <f t="shared" si="3"/>
        <v>23-AUG-2026</v>
      </c>
    </row>
    <row r="10" spans="1:19" x14ac:dyDescent="0.25">
      <c r="E10" s="5" t="s">
        <v>53</v>
      </c>
      <c r="F10" s="5" t="s">
        <v>54</v>
      </c>
      <c r="G10" s="5" t="s">
        <v>55</v>
      </c>
      <c r="H10" s="5">
        <v>500</v>
      </c>
      <c r="I10" s="5">
        <v>50</v>
      </c>
      <c r="J10" s="5" t="s">
        <v>28</v>
      </c>
      <c r="K10" s="15">
        <f>IF(H10="", MEDIAN($H$2:$H$35),H10)</f>
        <v>500</v>
      </c>
      <c r="L10" s="5" t="str">
        <f>IF(J10="","Missing Category",J10)</f>
        <v>Electronics</v>
      </c>
      <c r="M10" s="5" t="str">
        <f>PROPER(F10)</f>
        <v>Tablet</v>
      </c>
      <c r="N10" s="5" t="s">
        <v>28</v>
      </c>
      <c r="O10" s="17" t="str">
        <f t="shared" si="0"/>
        <v>05-SEP</v>
      </c>
      <c r="P10" s="5" t="str">
        <f t="shared" si="1"/>
        <v>UK</v>
      </c>
      <c r="Q10" t="str">
        <f t="shared" si="2"/>
        <v>Apple_Tablet</v>
      </c>
      <c r="R10">
        <v>2026</v>
      </c>
      <c r="S10" s="18" t="str">
        <f t="shared" si="3"/>
        <v>05-SEP-2026</v>
      </c>
    </row>
    <row r="11" spans="1:19" x14ac:dyDescent="0.25">
      <c r="B11" t="s">
        <v>122</v>
      </c>
      <c r="E11" s="8" t="s">
        <v>56</v>
      </c>
      <c r="F11" s="8" t="s">
        <v>57</v>
      </c>
      <c r="G11" s="8" t="s">
        <v>58</v>
      </c>
      <c r="H11" s="8">
        <v>130</v>
      </c>
      <c r="I11" s="8">
        <v>10</v>
      </c>
      <c r="J11" s="8" t="s">
        <v>59</v>
      </c>
      <c r="K11" s="16">
        <f>IF(H11="", MEDIAN($H$2:$H$35),H11)</f>
        <v>130</v>
      </c>
      <c r="L11" s="8" t="str">
        <f>IF(J11="","Missing Category",J11)</f>
        <v>Outdoor</v>
      </c>
      <c r="M11" s="8" t="str">
        <f>PROPER(F11)</f>
        <v>Hiking Boots</v>
      </c>
      <c r="N11" s="8" t="s">
        <v>59</v>
      </c>
      <c r="O11" s="17" t="str">
        <f t="shared" si="0"/>
        <v>14-OCT</v>
      </c>
      <c r="P11" s="5" t="str">
        <f t="shared" si="1"/>
        <v>UK</v>
      </c>
      <c r="Q11" t="str">
        <f t="shared" si="2"/>
        <v>Timberland_Hiking Boots</v>
      </c>
      <c r="R11">
        <v>2026</v>
      </c>
      <c r="S11" s="18" t="str">
        <f t="shared" si="3"/>
        <v>14-OCT-2026</v>
      </c>
    </row>
    <row r="12" spans="1:19" x14ac:dyDescent="0.25">
      <c r="E12" s="5" t="s">
        <v>60</v>
      </c>
      <c r="F12" s="5" t="s">
        <v>61</v>
      </c>
      <c r="G12" s="5" t="s">
        <v>62</v>
      </c>
      <c r="H12" s="5">
        <v>950</v>
      </c>
      <c r="I12" s="5">
        <v>25</v>
      </c>
      <c r="J12" s="5" t="s">
        <v>28</v>
      </c>
      <c r="K12" s="15">
        <f>IF(H12="", MEDIAN($H$2:$H$35),H12)</f>
        <v>950</v>
      </c>
      <c r="L12" s="5" t="str">
        <f>IF(J12="","Missing Category",J12)</f>
        <v>Electronics</v>
      </c>
      <c r="M12" s="5" t="str">
        <f>PROPER(F12)</f>
        <v>Laptop</v>
      </c>
      <c r="N12" s="5" t="s">
        <v>28</v>
      </c>
      <c r="O12" s="17" t="str">
        <f t="shared" si="0"/>
        <v>17-JUN</v>
      </c>
      <c r="P12" s="5" t="str">
        <f t="shared" si="1"/>
        <v>IN</v>
      </c>
      <c r="Q12" t="str">
        <f t="shared" si="2"/>
        <v>HP_Laptop</v>
      </c>
      <c r="R12">
        <v>2026</v>
      </c>
      <c r="S12" s="18" t="str">
        <f t="shared" si="3"/>
        <v>17-JUN-2026</v>
      </c>
    </row>
    <row r="13" spans="1:19" x14ac:dyDescent="0.25">
      <c r="E13" s="8" t="s">
        <v>63</v>
      </c>
      <c r="F13" s="8" t="s">
        <v>30</v>
      </c>
      <c r="G13" s="8" t="s">
        <v>49</v>
      </c>
      <c r="H13" s="8">
        <v>90</v>
      </c>
      <c r="I13" s="8">
        <v>40</v>
      </c>
      <c r="J13" s="8"/>
      <c r="K13" s="16">
        <f>IF(H13="", MEDIAN($H$2:$H$35),H13)</f>
        <v>90</v>
      </c>
      <c r="L13" s="8" t="str">
        <f>IF(J13="","Missing Category",J13)</f>
        <v>Missing Category</v>
      </c>
      <c r="M13" s="8" t="str">
        <f>PROPER(F13)</f>
        <v>Sneakers</v>
      </c>
      <c r="N13" s="8" t="s">
        <v>127</v>
      </c>
      <c r="O13" s="17" t="str">
        <f t="shared" si="0"/>
        <v>25-NOV</v>
      </c>
      <c r="P13" s="5" t="str">
        <f t="shared" si="1"/>
        <v>AU</v>
      </c>
      <c r="Q13" t="str">
        <f t="shared" si="2"/>
        <v>Adidas_Sneakers</v>
      </c>
      <c r="R13">
        <v>2026</v>
      </c>
      <c r="S13" s="18" t="str">
        <f t="shared" si="3"/>
        <v>25-NOV-2026</v>
      </c>
    </row>
    <row r="14" spans="1:19" ht="15" x14ac:dyDescent="0.3">
      <c r="A14" s="2" t="s">
        <v>4</v>
      </c>
      <c r="E14" s="5" t="s">
        <v>64</v>
      </c>
      <c r="F14" s="5" t="s">
        <v>34</v>
      </c>
      <c r="G14" s="5" t="s">
        <v>65</v>
      </c>
      <c r="H14" s="5">
        <v>120</v>
      </c>
      <c r="I14" s="5">
        <v>35</v>
      </c>
      <c r="J14" s="5"/>
      <c r="K14" s="15">
        <f>IF(H14="", MEDIAN($H$2:$H$35),H14)</f>
        <v>120</v>
      </c>
      <c r="L14" s="5" t="str">
        <f>IF(J14="","Missing Category",J14)</f>
        <v>Missing Category</v>
      </c>
      <c r="M14" s="5" t="str">
        <f>PROPER(F14)</f>
        <v>Coffee Maker</v>
      </c>
      <c r="N14" s="5" t="s">
        <v>127</v>
      </c>
      <c r="O14" s="17" t="str">
        <f t="shared" si="0"/>
        <v>08-DEC</v>
      </c>
      <c r="P14" s="5" t="str">
        <f t="shared" si="1"/>
        <v>DE</v>
      </c>
      <c r="Q14" t="str">
        <f t="shared" si="2"/>
        <v>Nespresso_Coffee Maker</v>
      </c>
      <c r="R14">
        <v>2026</v>
      </c>
      <c r="S14" s="18" t="str">
        <f t="shared" si="3"/>
        <v>08-DEC-2026</v>
      </c>
    </row>
    <row r="15" spans="1:19" ht="15.5" x14ac:dyDescent="0.35">
      <c r="B15" s="3" t="s">
        <v>5</v>
      </c>
      <c r="E15" s="8" t="s">
        <v>66</v>
      </c>
      <c r="F15" s="8" t="s">
        <v>67</v>
      </c>
      <c r="G15" s="8" t="s">
        <v>68</v>
      </c>
      <c r="H15" s="8">
        <v>150</v>
      </c>
      <c r="I15" s="8">
        <v>15</v>
      </c>
      <c r="J15" s="8" t="s">
        <v>46</v>
      </c>
      <c r="K15" s="16">
        <f>IF(H15="", MEDIAN($H$2:$H$35),H15)</f>
        <v>150</v>
      </c>
      <c r="L15" s="8" t="str">
        <f>IF(J15="","Missing Category",J15)</f>
        <v>Electroni</v>
      </c>
      <c r="M15" s="8" t="str">
        <f>PROPER(F15)</f>
        <v>Smartwatch</v>
      </c>
      <c r="N15" s="8" t="s">
        <v>28</v>
      </c>
      <c r="O15" s="17" t="str">
        <f t="shared" si="0"/>
        <v>18-FEB</v>
      </c>
      <c r="P15" s="5" t="str">
        <f t="shared" si="1"/>
        <v>CA</v>
      </c>
      <c r="Q15" t="str">
        <f t="shared" si="2"/>
        <v>Fitbit_Smartwatch</v>
      </c>
      <c r="R15">
        <v>2026</v>
      </c>
      <c r="S15" s="18" t="str">
        <f t="shared" si="3"/>
        <v>18-FEB-2026</v>
      </c>
    </row>
    <row r="16" spans="1:19" ht="14" x14ac:dyDescent="0.3">
      <c r="B16" s="11" t="s">
        <v>125</v>
      </c>
      <c r="E16" s="5" t="s">
        <v>69</v>
      </c>
      <c r="F16" s="5" t="s">
        <v>70</v>
      </c>
      <c r="G16" s="5" t="s">
        <v>71</v>
      </c>
      <c r="H16" s="5">
        <v>250</v>
      </c>
      <c r="I16" s="5">
        <v>20</v>
      </c>
      <c r="J16" s="5" t="s">
        <v>46</v>
      </c>
      <c r="K16" s="15">
        <f>IF(H16="", MEDIAN($H$2:$H$35),H16)</f>
        <v>250</v>
      </c>
      <c r="L16" s="5" t="str">
        <f>IF(J16="","Missing Category",J16)</f>
        <v>Electroni</v>
      </c>
      <c r="M16" s="5" t="str">
        <f>PROPER(F16)</f>
        <v>Headphones</v>
      </c>
      <c r="N16" s="5" t="s">
        <v>28</v>
      </c>
      <c r="O16" s="17" t="str">
        <f t="shared" si="0"/>
        <v>16-APR</v>
      </c>
      <c r="P16" s="5" t="str">
        <f t="shared" si="1"/>
        <v>ES</v>
      </c>
      <c r="Q16" t="str">
        <f t="shared" si="2"/>
        <v>Bose_Headphones</v>
      </c>
      <c r="R16">
        <v>2026</v>
      </c>
      <c r="S16" s="18" t="str">
        <f t="shared" si="3"/>
        <v>16-APR-2026</v>
      </c>
    </row>
    <row r="17" spans="1:19" x14ac:dyDescent="0.25">
      <c r="E17" s="8" t="s">
        <v>72</v>
      </c>
      <c r="F17" s="8" t="s">
        <v>73</v>
      </c>
      <c r="G17" s="8" t="s">
        <v>74</v>
      </c>
      <c r="H17" s="8">
        <v>50</v>
      </c>
      <c r="I17" s="8">
        <v>35</v>
      </c>
      <c r="J17" s="8" t="s">
        <v>75</v>
      </c>
      <c r="K17" s="16">
        <f>IF(H17="", MEDIAN($H$2:$H$35),H17)</f>
        <v>50</v>
      </c>
      <c r="L17" s="8" t="str">
        <f>IF(J17="","Missing Category",J17)</f>
        <v>Accessories</v>
      </c>
      <c r="M17" s="8" t="str">
        <f>PROPER(F17)</f>
        <v>Laptop Bag</v>
      </c>
      <c r="N17" s="8" t="s">
        <v>75</v>
      </c>
      <c r="O17" s="17" t="str">
        <f t="shared" si="0"/>
        <v>21-AUG</v>
      </c>
      <c r="P17" s="5" t="str">
        <f t="shared" si="1"/>
        <v>CA</v>
      </c>
      <c r="Q17" t="str">
        <f t="shared" si="2"/>
        <v>Samsonite_Laptop Bag</v>
      </c>
      <c r="R17">
        <v>2026</v>
      </c>
      <c r="S17" s="18" t="str">
        <f t="shared" si="3"/>
        <v>21-AUG-2026</v>
      </c>
    </row>
    <row r="18" spans="1:19" ht="15.5" x14ac:dyDescent="0.35">
      <c r="B18" s="3" t="s">
        <v>6</v>
      </c>
      <c r="E18" s="5" t="s">
        <v>76</v>
      </c>
      <c r="F18" s="5" t="s">
        <v>67</v>
      </c>
      <c r="G18" s="5" t="s">
        <v>77</v>
      </c>
      <c r="H18" s="5">
        <v>160</v>
      </c>
      <c r="I18" s="5">
        <v>15</v>
      </c>
      <c r="J18" s="5" t="s">
        <v>46</v>
      </c>
      <c r="K18" s="15">
        <f>IF(H18="", MEDIAN($H$2:$H$35),H18)</f>
        <v>160</v>
      </c>
      <c r="L18" s="5" t="str">
        <f>IF(J18="","Missing Category",J18)</f>
        <v>Electroni</v>
      </c>
      <c r="M18" s="5" t="str">
        <f>PROPER(F18)</f>
        <v>Smartwatch</v>
      </c>
      <c r="N18" s="5" t="s">
        <v>28</v>
      </c>
      <c r="O18" s="17" t="str">
        <f t="shared" si="0"/>
        <v>20-AUG</v>
      </c>
      <c r="P18" s="5" t="str">
        <f t="shared" si="1"/>
        <v>CN</v>
      </c>
      <c r="Q18" t="str">
        <f t="shared" si="2"/>
        <v>Huawei_Smartwatch</v>
      </c>
      <c r="R18">
        <v>2026</v>
      </c>
      <c r="S18" s="18" t="str">
        <f t="shared" si="3"/>
        <v>20-AUG-2026</v>
      </c>
    </row>
    <row r="19" spans="1:19" ht="14" x14ac:dyDescent="0.3">
      <c r="B19" s="10" t="s">
        <v>124</v>
      </c>
      <c r="E19" s="8" t="s">
        <v>78</v>
      </c>
      <c r="F19" s="8" t="s">
        <v>26</v>
      </c>
      <c r="G19" s="8" t="s">
        <v>79</v>
      </c>
      <c r="H19" s="8">
        <v>980</v>
      </c>
      <c r="I19" s="8">
        <v>10</v>
      </c>
      <c r="J19" s="8" t="s">
        <v>28</v>
      </c>
      <c r="K19" s="16">
        <f>IF(H19="", MEDIAN($H$2:$H$35),H19)</f>
        <v>980</v>
      </c>
      <c r="L19" s="8" t="str">
        <f>IF(J19="","Missing Category",J19)</f>
        <v>Electronics</v>
      </c>
      <c r="M19" s="8" t="str">
        <f>PROPER(F19)</f>
        <v>Laptop</v>
      </c>
      <c r="N19" s="8" t="s">
        <v>28</v>
      </c>
      <c r="O19" s="17" t="str">
        <f t="shared" si="0"/>
        <v>27-JAN</v>
      </c>
      <c r="P19" s="5" t="str">
        <f t="shared" si="1"/>
        <v>IT</v>
      </c>
      <c r="Q19" t="str">
        <f t="shared" si="2"/>
        <v>Asus_Laptop</v>
      </c>
      <c r="R19">
        <v>2026</v>
      </c>
      <c r="S19" s="18" t="str">
        <f t="shared" si="3"/>
        <v>27-JAN-2026</v>
      </c>
    </row>
    <row r="20" spans="1:19" x14ac:dyDescent="0.25">
      <c r="E20" s="5" t="s">
        <v>80</v>
      </c>
      <c r="F20" s="5" t="s">
        <v>81</v>
      </c>
      <c r="G20" s="5" t="s">
        <v>82</v>
      </c>
      <c r="H20" s="5">
        <v>150</v>
      </c>
      <c r="I20" s="5">
        <v>15</v>
      </c>
      <c r="J20" s="5" t="s">
        <v>32</v>
      </c>
      <c r="K20" s="15">
        <f>IF(H20="", MEDIAN($H$2:$H$35),H20)</f>
        <v>150</v>
      </c>
      <c r="L20" s="5" t="str">
        <f>IF(J20="","Missing Category",J20)</f>
        <v>Fashion</v>
      </c>
      <c r="M20" s="5" t="str">
        <f>PROPER(F20)</f>
        <v>Sunglasses</v>
      </c>
      <c r="N20" s="5" t="s">
        <v>32</v>
      </c>
      <c r="O20" s="17" t="str">
        <f t="shared" si="0"/>
        <v>01-MAR</v>
      </c>
      <c r="P20" s="5" t="str">
        <f t="shared" si="1"/>
        <v>UK</v>
      </c>
      <c r="Q20" t="str">
        <f t="shared" si="2"/>
        <v>Oakley_Sunglasses</v>
      </c>
      <c r="R20">
        <v>2026</v>
      </c>
      <c r="S20" s="18" t="str">
        <f t="shared" si="3"/>
        <v>01-MAR-2026</v>
      </c>
    </row>
    <row r="21" spans="1:19" x14ac:dyDescent="0.25">
      <c r="E21" s="8" t="s">
        <v>83</v>
      </c>
      <c r="F21" s="8" t="s">
        <v>84</v>
      </c>
      <c r="G21" s="8" t="s">
        <v>85</v>
      </c>
      <c r="H21" s="8"/>
      <c r="I21" s="8">
        <v>10</v>
      </c>
      <c r="J21" s="8" t="s">
        <v>59</v>
      </c>
      <c r="K21" s="16">
        <f>IF(H21="", MEDIAN($H$2:$H$35),H21)</f>
        <v>130</v>
      </c>
      <c r="L21" s="8" t="str">
        <f>IF(J21="","Missing Category",J21)</f>
        <v>Outdoor</v>
      </c>
      <c r="M21" s="8" t="str">
        <f>PROPER(F21)</f>
        <v>Camping Tent</v>
      </c>
      <c r="N21" s="8" t="s">
        <v>59</v>
      </c>
      <c r="O21" s="17" t="str">
        <f t="shared" si="0"/>
        <v>14-AUG</v>
      </c>
      <c r="P21" s="5" t="str">
        <f t="shared" si="1"/>
        <v>US</v>
      </c>
      <c r="Q21" t="str">
        <f t="shared" si="2"/>
        <v>Coleman_Camping Tent</v>
      </c>
      <c r="R21">
        <v>2026</v>
      </c>
      <c r="S21" s="18" t="str">
        <f t="shared" si="3"/>
        <v>14-AUG-2026</v>
      </c>
    </row>
    <row r="22" spans="1:19" ht="15.5" x14ac:dyDescent="0.35">
      <c r="B22" s="3" t="s">
        <v>7</v>
      </c>
      <c r="E22" s="5" t="s">
        <v>86</v>
      </c>
      <c r="F22" s="5" t="s">
        <v>87</v>
      </c>
      <c r="G22" s="5" t="s">
        <v>88</v>
      </c>
      <c r="H22" s="5">
        <v>700</v>
      </c>
      <c r="I22" s="5">
        <v>50</v>
      </c>
      <c r="J22" s="5" t="s">
        <v>28</v>
      </c>
      <c r="K22" s="15">
        <f>IF(H22="", MEDIAN($H$2:$H$35),H22)</f>
        <v>700</v>
      </c>
      <c r="L22" s="5" t="str">
        <f>IF(J22="","Missing Category",J22)</f>
        <v>Electronics</v>
      </c>
      <c r="M22" s="5" t="str">
        <f>PROPER(F22)</f>
        <v>Camera</v>
      </c>
      <c r="N22" s="5" t="s">
        <v>28</v>
      </c>
      <c r="O22" s="17" t="str">
        <f t="shared" si="0"/>
        <v>14-MAY</v>
      </c>
      <c r="P22" s="5" t="str">
        <f t="shared" si="1"/>
        <v>RU</v>
      </c>
      <c r="Q22" t="str">
        <f t="shared" si="2"/>
        <v>Nikon_Camera</v>
      </c>
      <c r="R22">
        <v>2026</v>
      </c>
      <c r="S22" s="18" t="str">
        <f t="shared" si="3"/>
        <v>14-MAY-2026</v>
      </c>
    </row>
    <row r="23" spans="1:19" x14ac:dyDescent="0.25">
      <c r="E23" s="8" t="s">
        <v>89</v>
      </c>
      <c r="F23" s="8" t="s">
        <v>90</v>
      </c>
      <c r="G23" s="8" t="s">
        <v>91</v>
      </c>
      <c r="H23" s="8">
        <v>80</v>
      </c>
      <c r="I23" s="8">
        <v>20</v>
      </c>
      <c r="J23" s="8" t="s">
        <v>36</v>
      </c>
      <c r="K23" s="16">
        <f>IF(H23="", MEDIAN($H$2:$H$35),H23)</f>
        <v>80</v>
      </c>
      <c r="L23" s="8" t="str">
        <f>IF(J23="","Missing Category",J23)</f>
        <v>Kitchen</v>
      </c>
      <c r="M23" s="8" t="str">
        <f>PROPER(F23)</f>
        <v>Microwave</v>
      </c>
      <c r="N23" s="8" t="s">
        <v>36</v>
      </c>
      <c r="O23" s="17" t="str">
        <f t="shared" si="0"/>
        <v>09-JAN</v>
      </c>
      <c r="P23" s="5" t="str">
        <f t="shared" si="1"/>
        <v>CA</v>
      </c>
      <c r="Q23" t="str">
        <f t="shared" si="2"/>
        <v>Panasonic_Microwave</v>
      </c>
      <c r="R23">
        <v>2026</v>
      </c>
      <c r="S23" s="18" t="str">
        <f t="shared" si="3"/>
        <v>09-JAN-2026</v>
      </c>
    </row>
    <row r="24" spans="1:19" x14ac:dyDescent="0.25">
      <c r="E24" s="5" t="s">
        <v>92</v>
      </c>
      <c r="F24" s="5" t="s">
        <v>93</v>
      </c>
      <c r="G24" s="5" t="s">
        <v>94</v>
      </c>
      <c r="H24" s="5">
        <v>150</v>
      </c>
      <c r="I24" s="5">
        <v>30</v>
      </c>
      <c r="J24" s="5"/>
      <c r="K24" s="15">
        <f>IF(H24="", MEDIAN($H$2:$H$35),H24)</f>
        <v>150</v>
      </c>
      <c r="L24" s="5" t="str">
        <f>IF(J24="","Missing Category",J24)</f>
        <v>Missing Category</v>
      </c>
      <c r="M24" s="5" t="str">
        <f>PROPER(F24)</f>
        <v>Fitness Tracker</v>
      </c>
      <c r="N24" s="5" t="s">
        <v>127</v>
      </c>
      <c r="O24" s="17" t="str">
        <f t="shared" si="0"/>
        <v>19-JUL</v>
      </c>
      <c r="P24" s="5" t="str">
        <f t="shared" si="1"/>
        <v>BR</v>
      </c>
      <c r="Q24" t="str">
        <f t="shared" si="2"/>
        <v>Xiaomi_Fitness Tracker</v>
      </c>
      <c r="R24">
        <v>2026</v>
      </c>
      <c r="S24" s="18" t="str">
        <f t="shared" si="3"/>
        <v>19-JUL-2026</v>
      </c>
    </row>
    <row r="25" spans="1:19" ht="15" x14ac:dyDescent="0.3">
      <c r="A25" s="2" t="s">
        <v>8</v>
      </c>
      <c r="E25" s="5" t="s">
        <v>95</v>
      </c>
      <c r="F25" s="5" t="s">
        <v>96</v>
      </c>
      <c r="G25" s="5" t="s">
        <v>97</v>
      </c>
      <c r="H25" s="5">
        <v>800</v>
      </c>
      <c r="I25" s="5">
        <v>45</v>
      </c>
      <c r="J25" s="5" t="s">
        <v>28</v>
      </c>
      <c r="K25" s="15">
        <f>IF(H25="", MEDIAN($H$2:$H$35),H25)</f>
        <v>800</v>
      </c>
      <c r="L25" s="5" t="str">
        <f>IF(J25="","Missing Category",J25)</f>
        <v>Electronics</v>
      </c>
      <c r="M25" s="5" t="str">
        <f>PROPER(F25)</f>
        <v>Smartphone</v>
      </c>
      <c r="N25" s="5" t="s">
        <v>28</v>
      </c>
      <c r="O25" s="17" t="str">
        <f t="shared" si="0"/>
        <v>29-SEP</v>
      </c>
      <c r="P25" s="5" t="str">
        <f t="shared" si="1"/>
        <v>CA</v>
      </c>
      <c r="Q25" t="str">
        <f t="shared" si="2"/>
        <v>Google_Smartphone</v>
      </c>
      <c r="R25">
        <v>2026</v>
      </c>
      <c r="S25" s="18" t="str">
        <f t="shared" si="3"/>
        <v>29-SEP-2026</v>
      </c>
    </row>
    <row r="26" spans="1:19" ht="15.5" x14ac:dyDescent="0.35">
      <c r="A26" s="2"/>
      <c r="B26" s="3" t="s">
        <v>9</v>
      </c>
      <c r="E26" s="8" t="s">
        <v>98</v>
      </c>
      <c r="F26" s="8" t="s">
        <v>81</v>
      </c>
      <c r="G26" s="8" t="s">
        <v>99</v>
      </c>
      <c r="H26" s="8"/>
      <c r="I26" s="8">
        <v>25</v>
      </c>
      <c r="J26" s="8" t="s">
        <v>32</v>
      </c>
      <c r="K26" s="16">
        <f>IF(H26="", MEDIAN($H$2:$H$35),H26)</f>
        <v>130</v>
      </c>
      <c r="L26" s="8" t="str">
        <f>IF(J26="","Missing Category",J26)</f>
        <v>Fashion</v>
      </c>
      <c r="M26" s="8" t="str">
        <f>PROPER(F26)</f>
        <v>Sunglasses</v>
      </c>
      <c r="N26" s="8" t="s">
        <v>32</v>
      </c>
      <c r="O26" s="17" t="str">
        <f t="shared" si="0"/>
        <v>03-JUN</v>
      </c>
      <c r="P26" s="5" t="str">
        <f t="shared" si="1"/>
        <v>CA</v>
      </c>
      <c r="Q26" t="str">
        <f t="shared" si="2"/>
        <v>Ray-Ban_Sunglasses</v>
      </c>
      <c r="R26">
        <v>2026</v>
      </c>
      <c r="S26" s="18" t="str">
        <f t="shared" si="3"/>
        <v>03-JUN-2026</v>
      </c>
    </row>
    <row r="27" spans="1:19" x14ac:dyDescent="0.25">
      <c r="E27" s="5" t="s">
        <v>100</v>
      </c>
      <c r="F27" s="5" t="s">
        <v>51</v>
      </c>
      <c r="G27" s="5" t="s">
        <v>101</v>
      </c>
      <c r="H27" s="5">
        <v>400</v>
      </c>
      <c r="I27" s="5">
        <v>40</v>
      </c>
      <c r="J27" s="5" t="s">
        <v>36</v>
      </c>
      <c r="K27" s="15">
        <f>IF(H27="", MEDIAN($H$2:$H$35),H27)</f>
        <v>400</v>
      </c>
      <c r="L27" s="5" t="str">
        <f>IF(J27="","Missing Category",J27)</f>
        <v>Kitchen</v>
      </c>
      <c r="M27" s="5" t="str">
        <f>PROPER(F27)</f>
        <v>Blender</v>
      </c>
      <c r="N27" s="5" t="s">
        <v>36</v>
      </c>
      <c r="O27" s="17" t="str">
        <f t="shared" si="0"/>
        <v>11-JUL</v>
      </c>
      <c r="P27" s="5" t="str">
        <f t="shared" si="1"/>
        <v>CA</v>
      </c>
      <c r="Q27" t="str">
        <f t="shared" si="2"/>
        <v>Vitamix_Blender</v>
      </c>
      <c r="R27">
        <v>2026</v>
      </c>
      <c r="S27" s="18" t="str">
        <f t="shared" si="3"/>
        <v>11-JUL-2026</v>
      </c>
    </row>
    <row r="28" spans="1:19" x14ac:dyDescent="0.25">
      <c r="B28" s="12" t="s">
        <v>128</v>
      </c>
      <c r="E28" s="5" t="s">
        <v>102</v>
      </c>
      <c r="F28" s="5" t="s">
        <v>103</v>
      </c>
      <c r="G28" s="5" t="s">
        <v>104</v>
      </c>
      <c r="H28" s="5">
        <v>60</v>
      </c>
      <c r="I28" s="5">
        <v>30</v>
      </c>
      <c r="J28" s="5" t="s">
        <v>32</v>
      </c>
      <c r="K28" s="15">
        <f>IF(H28="", MEDIAN($H$2:$H$35),H28)</f>
        <v>60</v>
      </c>
      <c r="L28" s="5" t="str">
        <f>IF(J28="","Missing Category",J28)</f>
        <v>Fashion</v>
      </c>
      <c r="M28" s="5" t="str">
        <f>PROPER(F28)</f>
        <v>Dress</v>
      </c>
      <c r="N28" s="5" t="s">
        <v>32</v>
      </c>
      <c r="O28" s="17" t="str">
        <f t="shared" si="0"/>
        <v>07-MAR</v>
      </c>
      <c r="P28" s="5" t="str">
        <f t="shared" si="1"/>
        <v>CA</v>
      </c>
      <c r="Q28" t="str">
        <f t="shared" si="2"/>
        <v>Zara_Dress</v>
      </c>
      <c r="R28">
        <v>2026</v>
      </c>
      <c r="S28" s="18" t="str">
        <f t="shared" si="3"/>
        <v>07-MAR-2026</v>
      </c>
    </row>
    <row r="29" spans="1:19" x14ac:dyDescent="0.25">
      <c r="E29" s="8" t="s">
        <v>105</v>
      </c>
      <c r="F29" s="8" t="s">
        <v>106</v>
      </c>
      <c r="G29" s="8" t="s">
        <v>107</v>
      </c>
      <c r="H29" s="8">
        <v>40</v>
      </c>
      <c r="I29" s="8">
        <v>10</v>
      </c>
      <c r="J29" s="8" t="s">
        <v>36</v>
      </c>
      <c r="K29" s="16">
        <f>IF(H29="", MEDIAN($H$2:$H$35),H29)</f>
        <v>40</v>
      </c>
      <c r="L29" s="8" t="str">
        <f>IF(J29="","Missing Category",J29)</f>
        <v>Kitchen</v>
      </c>
      <c r="M29" s="8" t="str">
        <f>PROPER(F29)</f>
        <v>Toaster</v>
      </c>
      <c r="N29" s="8" t="s">
        <v>36</v>
      </c>
      <c r="O29" s="17" t="str">
        <f t="shared" si="0"/>
        <v>13-APR</v>
      </c>
      <c r="P29" s="5" t="str">
        <f t="shared" si="1"/>
        <v>CA</v>
      </c>
      <c r="Q29" t="str">
        <f t="shared" si="2"/>
        <v>Hamilton_Toaster</v>
      </c>
      <c r="R29">
        <v>2026</v>
      </c>
      <c r="S29" s="18" t="str">
        <f t="shared" si="3"/>
        <v>13-APR-2026</v>
      </c>
    </row>
    <row r="30" spans="1:19" x14ac:dyDescent="0.25">
      <c r="E30" s="5" t="s">
        <v>108</v>
      </c>
      <c r="F30" s="5" t="s">
        <v>93</v>
      </c>
      <c r="G30" s="5" t="s">
        <v>109</v>
      </c>
      <c r="H30" s="5">
        <v>130</v>
      </c>
      <c r="I30" s="5">
        <v>5</v>
      </c>
      <c r="J30" s="5" t="s">
        <v>28</v>
      </c>
      <c r="K30" s="15">
        <f>IF(H30="", MEDIAN($H$2:$H$35),H30)</f>
        <v>130</v>
      </c>
      <c r="L30" s="5" t="str">
        <f>IF(J30="","Missing Category",J30)</f>
        <v>Electronics</v>
      </c>
      <c r="M30" s="5" t="str">
        <f>PROPER(F30)</f>
        <v>Fitness Tracker</v>
      </c>
      <c r="N30" s="5" t="s">
        <v>28</v>
      </c>
      <c r="O30" s="17" t="str">
        <f t="shared" si="0"/>
        <v>24-MAY</v>
      </c>
      <c r="P30" s="5" t="str">
        <f t="shared" si="1"/>
        <v>CA</v>
      </c>
      <c r="Q30" t="str">
        <f t="shared" si="2"/>
        <v>Garmin_Fitness Tracker</v>
      </c>
      <c r="R30">
        <v>2026</v>
      </c>
      <c r="S30" s="18" t="str">
        <f t="shared" si="3"/>
        <v>24-MAY-2026</v>
      </c>
    </row>
    <row r="31" spans="1:19" x14ac:dyDescent="0.25">
      <c r="E31" s="8" t="s">
        <v>110</v>
      </c>
      <c r="F31" s="8" t="s">
        <v>111</v>
      </c>
      <c r="G31" s="8" t="s">
        <v>112</v>
      </c>
      <c r="H31" s="8">
        <v>50</v>
      </c>
      <c r="I31" s="8">
        <v>50</v>
      </c>
      <c r="J31" s="8" t="s">
        <v>32</v>
      </c>
      <c r="K31" s="16">
        <f>IF(H31="", MEDIAN($H$2:$H$35),H31)</f>
        <v>50</v>
      </c>
      <c r="L31" s="8" t="str">
        <f>IF(J31="","Missing Category",J31)</f>
        <v>Fashion</v>
      </c>
      <c r="M31" s="8" t="str">
        <f>PROPER(F31)</f>
        <v>Jeans</v>
      </c>
      <c r="N31" s="8" t="s">
        <v>32</v>
      </c>
      <c r="O31" s="17" t="str">
        <f t="shared" si="0"/>
        <v>02-DEC</v>
      </c>
      <c r="P31" s="5" t="str">
        <f t="shared" si="1"/>
        <v>CA</v>
      </c>
      <c r="Q31" t="str">
        <f t="shared" si="2"/>
        <v>Levi's_Jeans</v>
      </c>
      <c r="R31">
        <v>2026</v>
      </c>
      <c r="S31" s="18" t="str">
        <f t="shared" si="3"/>
        <v>02-DEC-2026</v>
      </c>
    </row>
    <row r="32" spans="1:19" ht="15" x14ac:dyDescent="0.3">
      <c r="A32" s="2" t="s">
        <v>10</v>
      </c>
      <c r="B32" s="5"/>
      <c r="E32" s="8" t="s">
        <v>113</v>
      </c>
      <c r="F32" s="8" t="s">
        <v>114</v>
      </c>
      <c r="G32" s="8" t="s">
        <v>115</v>
      </c>
      <c r="H32" s="8">
        <v>100</v>
      </c>
      <c r="I32" s="8">
        <v>20</v>
      </c>
      <c r="J32" s="8" t="s">
        <v>75</v>
      </c>
      <c r="K32" s="16">
        <f>IF(H32="", MEDIAN($H$2:$H$35),H32)</f>
        <v>100</v>
      </c>
      <c r="L32" s="8" t="str">
        <f>IF(J32="","Missing Category",J32)</f>
        <v>Accessories</v>
      </c>
      <c r="M32" s="8" t="str">
        <f>PROPER(F32)</f>
        <v>Watch</v>
      </c>
      <c r="N32" s="8" t="s">
        <v>75</v>
      </c>
      <c r="O32" s="17" t="str">
        <f t="shared" si="0"/>
        <v>09-JUL</v>
      </c>
      <c r="P32" s="5" t="str">
        <f t="shared" si="1"/>
        <v>FR</v>
      </c>
      <c r="Q32" t="str">
        <f t="shared" si="2"/>
        <v>Casio_Watch</v>
      </c>
      <c r="R32">
        <v>2026</v>
      </c>
      <c r="S32" s="18" t="str">
        <f t="shared" si="3"/>
        <v>09-JUL-2026</v>
      </c>
    </row>
    <row r="33" spans="1:2" ht="15.5" x14ac:dyDescent="0.35">
      <c r="A33" s="5"/>
      <c r="B33" s="14" t="s">
        <v>11</v>
      </c>
    </row>
    <row r="34" spans="1:2" x14ac:dyDescent="0.25">
      <c r="A34" s="5"/>
      <c r="B34" s="12" t="s">
        <v>132</v>
      </c>
    </row>
    <row r="35" spans="1:2" ht="15.5" x14ac:dyDescent="0.35">
      <c r="B35" s="14" t="s">
        <v>12</v>
      </c>
    </row>
    <row r="36" spans="1:2" x14ac:dyDescent="0.25">
      <c r="B36" s="12" t="s">
        <v>133</v>
      </c>
    </row>
    <row r="37" spans="1:2" ht="15" x14ac:dyDescent="0.3">
      <c r="A37" s="2" t="s">
        <v>13</v>
      </c>
      <c r="B37" s="5"/>
    </row>
    <row r="38" spans="1:2" ht="15.5" x14ac:dyDescent="0.35">
      <c r="A38" s="5"/>
      <c r="B38" s="3" t="s">
        <v>14</v>
      </c>
    </row>
    <row r="39" spans="1:2" ht="15.5" x14ac:dyDescent="0.35">
      <c r="A39" s="5"/>
      <c r="B39" s="3" t="s">
        <v>15</v>
      </c>
    </row>
    <row r="42" spans="1:2" ht="15" x14ac:dyDescent="0.3">
      <c r="A42" s="2" t="s">
        <v>16</v>
      </c>
      <c r="B42" s="5"/>
    </row>
    <row r="43" spans="1:2" ht="15.5" x14ac:dyDescent="0.35">
      <c r="A43" s="5"/>
      <c r="B43" s="3" t="s">
        <v>17</v>
      </c>
    </row>
    <row r="44" spans="1:2" ht="15.5" x14ac:dyDescent="0.35">
      <c r="A44" s="5"/>
      <c r="B44" s="3" t="s">
        <v>18</v>
      </c>
    </row>
  </sheetData>
  <conditionalFormatting sqref="K2:K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32">
    <cfRule type="cellIs" dxfId="0" priority="1" operator="equal">
      <formula>"Electronics"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Nymika Rajesh</cp:lastModifiedBy>
  <dcterms:modified xsi:type="dcterms:W3CDTF">2026-10-05T22:30:09Z</dcterms:modified>
</cp:coreProperties>
</file>