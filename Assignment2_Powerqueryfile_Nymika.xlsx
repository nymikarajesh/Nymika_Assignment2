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3beffd67811f0f10/Documents/"/>
    </mc:Choice>
  </mc:AlternateContent>
  <xr:revisionPtr revIDLastSave="0" documentId="8_{B14DACAB-33C7-4381-A341-B84EAC1AF360}" xr6:coauthVersionLast="47" xr6:coauthVersionMax="47" xr10:uidLastSave="{00000000-0000-0000-0000-000000000000}"/>
  <bookViews>
    <workbookView xWindow="-110" yWindow="-110" windowWidth="19420" windowHeight="10300" xr2:uid="{DE852466-7813-4F87-AFD0-1861A5A18564}"/>
  </bookViews>
  <sheets>
    <sheet name="Sheet1 (2)" sheetId="2" r:id="rId1"/>
    <sheet name="Sheet1" sheetId="1" r:id="rId2"/>
  </sheets>
  <definedNames>
    <definedName name="ExternalData_1" localSheetId="0" hidden="1">'Sheet1 (2)'!$A$1:$F$25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2" i="2" l="1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H2" i="2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G2" i="2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A3CB3A4-5454-4C3C-A5CC-B17FD3BEE53E}" keepAlive="1" name="Query - Sheet1" description="Connection to the 'Sheet1' query in the workbook." type="5" refreshedVersion="8" background="1" saveData="1">
    <dbPr connection="Provider=Microsoft.Mashup.OleDb.1;Data Source=$Workbook$;Location=Sheet1;Extended Properties=&quot;&quot;" command="SELECT * FROM [Sheet1]"/>
  </connection>
</connections>
</file>

<file path=xl/sharedStrings.xml><?xml version="1.0" encoding="utf-8"?>
<sst xmlns="http://schemas.openxmlformats.org/spreadsheetml/2006/main" count="105" uniqueCount="84">
  <si>
    <t>Product ID</t>
  </si>
  <si>
    <t>Product Name</t>
  </si>
  <si>
    <t>Brand Name</t>
  </si>
  <si>
    <t>Price ($)</t>
  </si>
  <si>
    <t>Quantity</t>
  </si>
  <si>
    <t>Category</t>
  </si>
  <si>
    <t>28-JAN-US</t>
  </si>
  <si>
    <t>Laptop</t>
  </si>
  <si>
    <t>Dell</t>
  </si>
  <si>
    <t>Electronics</t>
  </si>
  <si>
    <t>15-FEB-US</t>
  </si>
  <si>
    <t>Sneakers</t>
  </si>
  <si>
    <t>Nike</t>
  </si>
  <si>
    <t>Fashion</t>
  </si>
  <si>
    <t>03-MAR-US</t>
  </si>
  <si>
    <t>Coffee Maker</t>
  </si>
  <si>
    <t>Keurig</t>
  </si>
  <si>
    <t>Kitchen</t>
  </si>
  <si>
    <t>11-APR-US</t>
  </si>
  <si>
    <t>Smartphone</t>
  </si>
  <si>
    <t>Samsung</t>
  </si>
  <si>
    <t>22-MAY-US</t>
  </si>
  <si>
    <t>Backpack</t>
  </si>
  <si>
    <t>North Face</t>
  </si>
  <si>
    <t>Missing</t>
  </si>
  <si>
    <t>07-JUN-UK</t>
  </si>
  <si>
    <t>Headphones</t>
  </si>
  <si>
    <t>Sony</t>
  </si>
  <si>
    <t>19-JUL-UK</t>
  </si>
  <si>
    <t>T-Shirt</t>
  </si>
  <si>
    <t>Adidas</t>
  </si>
  <si>
    <t>23-AUG-UK</t>
  </si>
  <si>
    <t>Blender</t>
  </si>
  <si>
    <t>Ninja</t>
  </si>
  <si>
    <t>05-SEP-UK</t>
  </si>
  <si>
    <t>Tablet</t>
  </si>
  <si>
    <t>Apple</t>
  </si>
  <si>
    <t>14-OCT-UK</t>
  </si>
  <si>
    <t>Hiking Boots</t>
  </si>
  <si>
    <t>Timberland</t>
  </si>
  <si>
    <t>Outdoor</t>
  </si>
  <si>
    <t>17-JUN-IN</t>
  </si>
  <si>
    <t>HP</t>
  </si>
  <si>
    <t>18-FEB-CA</t>
  </si>
  <si>
    <t>Smartwatch</t>
  </si>
  <si>
    <t>Fitbit</t>
  </si>
  <si>
    <t>16-APR-ES</t>
  </si>
  <si>
    <t>Bose</t>
  </si>
  <si>
    <t>21-AUG-CA</t>
  </si>
  <si>
    <t>Laptop Bag</t>
  </si>
  <si>
    <t>Samsonite</t>
  </si>
  <si>
    <t>Accessories</t>
  </si>
  <si>
    <t>01-MAR-UK</t>
  </si>
  <si>
    <t>Sunglasses</t>
  </si>
  <si>
    <t>Oakley</t>
  </si>
  <si>
    <t>14-AUG-US</t>
  </si>
  <si>
    <t>Camping Tent</t>
  </si>
  <si>
    <t>Coleman</t>
  </si>
  <si>
    <t>14-MAY-RU</t>
  </si>
  <si>
    <t>Camera</t>
  </si>
  <si>
    <t>Nikon</t>
  </si>
  <si>
    <t>09-JAN-CA</t>
  </si>
  <si>
    <t>Microwave</t>
  </si>
  <si>
    <t>Panasonic</t>
  </si>
  <si>
    <t>19-JUL-BR</t>
  </si>
  <si>
    <t>Fitness Tracker</t>
  </si>
  <si>
    <t>Xiaomi</t>
  </si>
  <si>
    <t>29-SEP-CA</t>
  </si>
  <si>
    <t>Google</t>
  </si>
  <si>
    <t>07-MAR-CA</t>
  </si>
  <si>
    <t>Dress</t>
  </si>
  <si>
    <t>Zara</t>
  </si>
  <si>
    <t>13-APR-CA</t>
  </si>
  <si>
    <t>Toaster</t>
  </si>
  <si>
    <t>Hamilton</t>
  </si>
  <si>
    <t>02-DEC-CA</t>
  </si>
  <si>
    <t>Jeans</t>
  </si>
  <si>
    <t>Levi's</t>
  </si>
  <si>
    <t>09-JUL-FR</t>
  </si>
  <si>
    <t>Watch</t>
  </si>
  <si>
    <t>Casio</t>
  </si>
  <si>
    <t>Manufacturing date</t>
  </si>
  <si>
    <t>Country code</t>
  </si>
  <si>
    <t>Product Brand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</si>
</sst>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₹&quot;\ #,##0.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NumberFormat="1"/>
    <xf numFmtId="164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9">
    <dxf>
      <font>
        <color rgb="FF9C0006"/>
      </font>
      <fill>
        <patternFill>
          <bgColor rgb="FFFFC7CE"/>
        </patternFill>
      </fill>
    </dxf>
    <dxf>
      <numFmt numFmtId="19" formatCode="dd/mm/yyyy"/>
    </dxf>
    <dxf>
      <numFmt numFmtId="164" formatCode="&quot;₹&quot;\ #,##0.0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D430EE0C-AA7A-4737-959A-481BCA8208BF}" autoFormatId="16" applyNumberFormats="0" applyBorderFormats="0" applyFontFormats="0" applyPatternFormats="0" applyAlignmentFormats="0" applyWidthHeightFormats="0">
  <queryTableRefresh nextId="10" unboundColumnsRight="3">
    <queryTableFields count="9">
      <queryTableField id="1" name="Product ID" tableColumnId="1"/>
      <queryTableField id="2" name="Product Name" tableColumnId="2"/>
      <queryTableField id="3" name="Brand Name" tableColumnId="3"/>
      <queryTableField id="4" name="Price ($)" tableColumnId="4"/>
      <queryTableField id="5" name="Quantity" tableColumnId="5"/>
      <queryTableField id="6" name="Category" tableColumnId="6"/>
      <queryTableField id="7" dataBound="0" tableColumnId="7"/>
      <queryTableField id="8" dataBound="0" tableColumnId="8"/>
      <queryTableField id="9" dataBound="0" tableColumnId="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E33E73-E6D1-4F8F-9E5C-278F52124B4C}" name="Sheet1" displayName="Sheet1" ref="A1:I25" tableType="queryTable" totalsRowShown="0">
  <autoFilter ref="A1:I25" xr:uid="{D7E33E73-E6D1-4F8F-9E5C-278F52124B4C}"/>
  <tableColumns count="9">
    <tableColumn id="1" xr3:uid="{190412CB-D1DC-4EAE-AD48-D59DD134D78F}" uniqueName="1" name="Product ID" queryTableFieldId="1" dataDxfId="8"/>
    <tableColumn id="2" xr3:uid="{03FEEB10-0E75-4AC3-ADED-FE4D52D4AFBC}" uniqueName="2" name="Product Name" queryTableFieldId="2" dataDxfId="7"/>
    <tableColumn id="3" xr3:uid="{E900BE84-CD1B-421F-A397-6644375CB228}" uniqueName="3" name="Brand Name" queryTableFieldId="3" dataDxfId="3"/>
    <tableColumn id="4" xr3:uid="{192DB6F5-1DDC-4ED2-BCEB-E1DC691B8402}" uniqueName="4" name="Price ($)" queryTableFieldId="4" dataDxfId="2"/>
    <tableColumn id="5" xr3:uid="{25A0CDA2-5FE3-4C0A-882B-6E97CDD46238}" uniqueName="5" name="Quantity" queryTableFieldId="5"/>
    <tableColumn id="6" xr3:uid="{ECDB4CD7-88FD-4AF0-BFDC-ADCDCA1CE339}" uniqueName="6" name="Category" queryTableFieldId="6" dataDxfId="6"/>
    <tableColumn id="7" xr3:uid="{E721E0CA-8A1A-45DA-B4E5-950D2B84D3E2}" uniqueName="7" name="Manufacturing date" queryTableFieldId="7" dataDxfId="1">
      <calculatedColumnFormula>LEFT(Sheet1[[#This Row],[Product ID]],6)</calculatedColumnFormula>
    </tableColumn>
    <tableColumn id="8" xr3:uid="{FEA4FDC5-9DD7-4F45-85E2-078B219117B5}" uniqueName="8" name="Country code" queryTableFieldId="8" dataDxfId="5">
      <calculatedColumnFormula>RIGHT(Sheet1[[#This Row],[Product ID]],2)</calculatedColumnFormula>
    </tableColumn>
    <tableColumn id="9" xr3:uid="{881392AE-7C53-4412-9BD8-D66813342D27}" uniqueName="9" name="Product Brand" queryTableFieldId="9" dataDxfId="4">
      <calculatedColumnFormula>_xlfn.CONCAT(Sheet1[[#This Row],[Brand Name]],"-",Sheet1[[#This Row],[Product Name]])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52CBCB-998E-4BB4-A030-05D629EE1980}">
  <dimension ref="A1:I25"/>
  <sheetViews>
    <sheetView tabSelected="1" workbookViewId="0">
      <selection activeCell="J10" sqref="J10"/>
    </sheetView>
  </sheetViews>
  <sheetFormatPr defaultRowHeight="14.5" x14ac:dyDescent="0.35"/>
  <cols>
    <col min="1" max="1" width="12" bestFit="1" customWidth="1"/>
    <col min="2" max="2" width="15.1796875" bestFit="1" customWidth="1"/>
    <col min="3" max="3" width="13.453125" bestFit="1" customWidth="1"/>
    <col min="4" max="4" width="9.90625" style="2" bestFit="1" customWidth="1"/>
    <col min="5" max="5" width="10.453125" bestFit="1" customWidth="1"/>
    <col min="6" max="6" width="10.54296875" bestFit="1" customWidth="1"/>
    <col min="7" max="7" width="8.7265625" style="3"/>
    <col min="9" max="9" width="21.54296875" bestFit="1" customWidth="1"/>
  </cols>
  <sheetData>
    <row r="1" spans="1:9" x14ac:dyDescent="0.35">
      <c r="A1" t="s">
        <v>0</v>
      </c>
      <c r="B1" t="s">
        <v>1</v>
      </c>
      <c r="C1" t="s">
        <v>2</v>
      </c>
      <c r="D1" s="2" t="s">
        <v>3</v>
      </c>
      <c r="E1" t="s">
        <v>4</v>
      </c>
      <c r="F1" t="s">
        <v>5</v>
      </c>
      <c r="G1" s="3" t="s">
        <v>81</v>
      </c>
      <c r="H1" t="s">
        <v>82</v>
      </c>
      <c r="I1" t="s">
        <v>83</v>
      </c>
    </row>
    <row r="2" spans="1:9" x14ac:dyDescent="0.35">
      <c r="A2" s="1" t="s">
        <v>6</v>
      </c>
      <c r="B2" s="1" t="s">
        <v>7</v>
      </c>
      <c r="C2" s="1" t="s">
        <v>8</v>
      </c>
      <c r="D2" s="2">
        <v>1000</v>
      </c>
      <c r="E2">
        <v>30</v>
      </c>
      <c r="F2" s="1" t="s">
        <v>9</v>
      </c>
      <c r="G2" s="3" t="str">
        <f>LEFT(Sheet1[[#This Row],[Product ID]],6)</f>
        <v>28-JAN</v>
      </c>
      <c r="H2" s="1" t="str">
        <f>RIGHT(Sheet1[[#This Row],[Product ID]],2)</f>
        <v>US</v>
      </c>
      <c r="I2" s="1" t="str">
        <f>_xlfn.CONCAT(Sheet1[[#This Row],[Brand Name]],"-",Sheet1[[#This Row],[Product Name]])</f>
        <v>Dell-Laptop</v>
      </c>
    </row>
    <row r="3" spans="1:9" x14ac:dyDescent="0.35">
      <c r="A3" s="1" t="s">
        <v>10</v>
      </c>
      <c r="B3" s="1" t="s">
        <v>11</v>
      </c>
      <c r="C3" s="1" t="s">
        <v>12</v>
      </c>
      <c r="D3" s="2">
        <v>80</v>
      </c>
      <c r="E3">
        <v>15</v>
      </c>
      <c r="F3" s="1" t="s">
        <v>13</v>
      </c>
      <c r="G3" s="3" t="str">
        <f>LEFT(Sheet1[[#This Row],[Product ID]],6)</f>
        <v>15-FEB</v>
      </c>
      <c r="H3" s="1" t="str">
        <f>RIGHT(Sheet1[[#This Row],[Product ID]],2)</f>
        <v>US</v>
      </c>
      <c r="I3" s="1" t="str">
        <f>_xlfn.CONCAT(Sheet1[[#This Row],[Brand Name]],"-",Sheet1[[#This Row],[Product Name]])</f>
        <v>Nike-Sneakers</v>
      </c>
    </row>
    <row r="4" spans="1:9" x14ac:dyDescent="0.35">
      <c r="A4" s="1" t="s">
        <v>14</v>
      </c>
      <c r="B4" s="1" t="s">
        <v>15</v>
      </c>
      <c r="C4" s="1" t="s">
        <v>16</v>
      </c>
      <c r="D4" s="2">
        <v>130</v>
      </c>
      <c r="E4">
        <v>40</v>
      </c>
      <c r="F4" s="1" t="s">
        <v>17</v>
      </c>
      <c r="G4" s="3" t="str">
        <f>LEFT(Sheet1[[#This Row],[Product ID]],6)</f>
        <v>03-MAR</v>
      </c>
      <c r="H4" s="1" t="str">
        <f>RIGHT(Sheet1[[#This Row],[Product ID]],2)</f>
        <v>US</v>
      </c>
      <c r="I4" s="1" t="str">
        <f>_xlfn.CONCAT(Sheet1[[#This Row],[Brand Name]],"-",Sheet1[[#This Row],[Product Name]])</f>
        <v>Keurig-Coffee Maker</v>
      </c>
    </row>
    <row r="5" spans="1:9" x14ac:dyDescent="0.35">
      <c r="A5" s="1" t="s">
        <v>18</v>
      </c>
      <c r="B5" s="1" t="s">
        <v>19</v>
      </c>
      <c r="C5" s="1" t="s">
        <v>20</v>
      </c>
      <c r="D5" s="2">
        <v>900</v>
      </c>
      <c r="E5">
        <v>25</v>
      </c>
      <c r="F5" s="1" t="s">
        <v>9</v>
      </c>
      <c r="G5" s="3" t="str">
        <f>LEFT(Sheet1[[#This Row],[Product ID]],6)</f>
        <v>11-APR</v>
      </c>
      <c r="H5" s="1" t="str">
        <f>RIGHT(Sheet1[[#This Row],[Product ID]],2)</f>
        <v>US</v>
      </c>
      <c r="I5" s="1" t="str">
        <f>_xlfn.CONCAT(Sheet1[[#This Row],[Brand Name]],"-",Sheet1[[#This Row],[Product Name]])</f>
        <v>Samsung-Smartphone</v>
      </c>
    </row>
    <row r="6" spans="1:9" x14ac:dyDescent="0.35">
      <c r="A6" s="1" t="s">
        <v>21</v>
      </c>
      <c r="B6" s="1" t="s">
        <v>22</v>
      </c>
      <c r="C6" s="1" t="s">
        <v>23</v>
      </c>
      <c r="D6" s="2">
        <v>70</v>
      </c>
      <c r="E6">
        <v>20</v>
      </c>
      <c r="F6" s="1" t="s">
        <v>24</v>
      </c>
      <c r="G6" s="3" t="str">
        <f>LEFT(Sheet1[[#This Row],[Product ID]],6)</f>
        <v>22-MAY</v>
      </c>
      <c r="H6" s="1" t="str">
        <f>RIGHT(Sheet1[[#This Row],[Product ID]],2)</f>
        <v>US</v>
      </c>
      <c r="I6" s="1" t="str">
        <f>_xlfn.CONCAT(Sheet1[[#This Row],[Brand Name]],"-",Sheet1[[#This Row],[Product Name]])</f>
        <v>North Face-Backpack</v>
      </c>
    </row>
    <row r="7" spans="1:9" x14ac:dyDescent="0.35">
      <c r="A7" s="1" t="s">
        <v>25</v>
      </c>
      <c r="B7" s="1" t="s">
        <v>26</v>
      </c>
      <c r="C7" s="1" t="s">
        <v>27</v>
      </c>
      <c r="D7" s="2">
        <v>130</v>
      </c>
      <c r="E7">
        <v>45</v>
      </c>
      <c r="F7" s="1" t="s">
        <v>9</v>
      </c>
      <c r="G7" s="3" t="str">
        <f>LEFT(Sheet1[[#This Row],[Product ID]],6)</f>
        <v>07-JUN</v>
      </c>
      <c r="H7" s="1" t="str">
        <f>RIGHT(Sheet1[[#This Row],[Product ID]],2)</f>
        <v>UK</v>
      </c>
      <c r="I7" s="1" t="str">
        <f>_xlfn.CONCAT(Sheet1[[#This Row],[Brand Name]],"-",Sheet1[[#This Row],[Product Name]])</f>
        <v>Sony-Headphones</v>
      </c>
    </row>
    <row r="8" spans="1:9" x14ac:dyDescent="0.35">
      <c r="A8" s="1" t="s">
        <v>28</v>
      </c>
      <c r="B8" s="1" t="s">
        <v>29</v>
      </c>
      <c r="C8" s="1" t="s">
        <v>30</v>
      </c>
      <c r="D8" s="2">
        <v>30</v>
      </c>
      <c r="E8">
        <v>5</v>
      </c>
      <c r="F8" s="1" t="s">
        <v>13</v>
      </c>
      <c r="G8" s="3" t="str">
        <f>LEFT(Sheet1[[#This Row],[Product ID]],6)</f>
        <v>19-JUL</v>
      </c>
      <c r="H8" s="1" t="str">
        <f>RIGHT(Sheet1[[#This Row],[Product ID]],2)</f>
        <v>UK</v>
      </c>
      <c r="I8" s="1" t="str">
        <f>_xlfn.CONCAT(Sheet1[[#This Row],[Brand Name]],"-",Sheet1[[#This Row],[Product Name]])</f>
        <v>Adidas-T-Shirt</v>
      </c>
    </row>
    <row r="9" spans="1:9" x14ac:dyDescent="0.35">
      <c r="A9" s="1" t="s">
        <v>31</v>
      </c>
      <c r="B9" s="1" t="s">
        <v>32</v>
      </c>
      <c r="C9" s="1" t="s">
        <v>33</v>
      </c>
      <c r="D9" s="2">
        <v>90</v>
      </c>
      <c r="E9">
        <v>35</v>
      </c>
      <c r="F9" s="1" t="s">
        <v>17</v>
      </c>
      <c r="G9" s="3" t="str">
        <f>LEFT(Sheet1[[#This Row],[Product ID]],6)</f>
        <v>23-AUG</v>
      </c>
      <c r="H9" s="1" t="str">
        <f>RIGHT(Sheet1[[#This Row],[Product ID]],2)</f>
        <v>UK</v>
      </c>
      <c r="I9" s="1" t="str">
        <f>_xlfn.CONCAT(Sheet1[[#This Row],[Brand Name]],"-",Sheet1[[#This Row],[Product Name]])</f>
        <v>Ninja-Blender</v>
      </c>
    </row>
    <row r="10" spans="1:9" x14ac:dyDescent="0.35">
      <c r="A10" s="1" t="s">
        <v>34</v>
      </c>
      <c r="B10" s="1" t="s">
        <v>35</v>
      </c>
      <c r="C10" s="1" t="s">
        <v>36</v>
      </c>
      <c r="D10" s="2">
        <v>500</v>
      </c>
      <c r="E10">
        <v>50</v>
      </c>
      <c r="F10" s="1" t="s">
        <v>9</v>
      </c>
      <c r="G10" s="3" t="str">
        <f>LEFT(Sheet1[[#This Row],[Product ID]],6)</f>
        <v>05-SEP</v>
      </c>
      <c r="H10" s="1" t="str">
        <f>RIGHT(Sheet1[[#This Row],[Product ID]],2)</f>
        <v>UK</v>
      </c>
      <c r="I10" s="1" t="str">
        <f>_xlfn.CONCAT(Sheet1[[#This Row],[Brand Name]],"-",Sheet1[[#This Row],[Product Name]])</f>
        <v>Apple-Tablet</v>
      </c>
    </row>
    <row r="11" spans="1:9" x14ac:dyDescent="0.35">
      <c r="A11" s="1" t="s">
        <v>37</v>
      </c>
      <c r="B11" s="1" t="s">
        <v>38</v>
      </c>
      <c r="C11" s="1" t="s">
        <v>39</v>
      </c>
      <c r="D11" s="2">
        <v>130</v>
      </c>
      <c r="E11">
        <v>10</v>
      </c>
      <c r="F11" s="1" t="s">
        <v>40</v>
      </c>
      <c r="G11" s="3" t="str">
        <f>LEFT(Sheet1[[#This Row],[Product ID]],6)</f>
        <v>14-OCT</v>
      </c>
      <c r="H11" s="1" t="str">
        <f>RIGHT(Sheet1[[#This Row],[Product ID]],2)</f>
        <v>UK</v>
      </c>
      <c r="I11" s="1" t="str">
        <f>_xlfn.CONCAT(Sheet1[[#This Row],[Brand Name]],"-",Sheet1[[#This Row],[Product Name]])</f>
        <v>Timberland-Hiking Boots</v>
      </c>
    </row>
    <row r="12" spans="1:9" x14ac:dyDescent="0.35">
      <c r="A12" s="1" t="s">
        <v>41</v>
      </c>
      <c r="B12" s="1" t="s">
        <v>7</v>
      </c>
      <c r="C12" s="1" t="s">
        <v>42</v>
      </c>
      <c r="D12" s="2">
        <v>950</v>
      </c>
      <c r="E12">
        <v>25</v>
      </c>
      <c r="F12" s="1" t="s">
        <v>9</v>
      </c>
      <c r="G12" s="3" t="str">
        <f>LEFT(Sheet1[[#This Row],[Product ID]],6)</f>
        <v>17-JUN</v>
      </c>
      <c r="H12" s="1" t="str">
        <f>RIGHT(Sheet1[[#This Row],[Product ID]],2)</f>
        <v>IN</v>
      </c>
      <c r="I12" s="1" t="str">
        <f>_xlfn.CONCAT(Sheet1[[#This Row],[Brand Name]],"-",Sheet1[[#This Row],[Product Name]])</f>
        <v>HP-Laptop</v>
      </c>
    </row>
    <row r="13" spans="1:9" x14ac:dyDescent="0.35">
      <c r="A13" s="1" t="s">
        <v>43</v>
      </c>
      <c r="B13" s="1" t="s">
        <v>44</v>
      </c>
      <c r="C13" s="1" t="s">
        <v>45</v>
      </c>
      <c r="D13" s="2">
        <v>150</v>
      </c>
      <c r="E13">
        <v>15</v>
      </c>
      <c r="F13" s="1" t="s">
        <v>9</v>
      </c>
      <c r="G13" s="3" t="str">
        <f>LEFT(Sheet1[[#This Row],[Product ID]],6)</f>
        <v>18-FEB</v>
      </c>
      <c r="H13" s="1" t="str">
        <f>RIGHT(Sheet1[[#This Row],[Product ID]],2)</f>
        <v>CA</v>
      </c>
      <c r="I13" s="1" t="str">
        <f>_xlfn.CONCAT(Sheet1[[#This Row],[Brand Name]],"-",Sheet1[[#This Row],[Product Name]])</f>
        <v>Fitbit-Smartwatch</v>
      </c>
    </row>
    <row r="14" spans="1:9" x14ac:dyDescent="0.35">
      <c r="A14" s="1" t="s">
        <v>46</v>
      </c>
      <c r="B14" s="1" t="s">
        <v>26</v>
      </c>
      <c r="C14" s="1" t="s">
        <v>47</v>
      </c>
      <c r="D14" s="2">
        <v>250</v>
      </c>
      <c r="E14">
        <v>20</v>
      </c>
      <c r="F14" s="1" t="s">
        <v>9</v>
      </c>
      <c r="G14" s="3" t="str">
        <f>LEFT(Sheet1[[#This Row],[Product ID]],6)</f>
        <v>16-APR</v>
      </c>
      <c r="H14" s="1" t="str">
        <f>RIGHT(Sheet1[[#This Row],[Product ID]],2)</f>
        <v>ES</v>
      </c>
      <c r="I14" s="1" t="str">
        <f>_xlfn.CONCAT(Sheet1[[#This Row],[Brand Name]],"-",Sheet1[[#This Row],[Product Name]])</f>
        <v>Bose-Headphones</v>
      </c>
    </row>
    <row r="15" spans="1:9" x14ac:dyDescent="0.35">
      <c r="A15" s="1" t="s">
        <v>48</v>
      </c>
      <c r="B15" s="1" t="s">
        <v>49</v>
      </c>
      <c r="C15" s="1" t="s">
        <v>50</v>
      </c>
      <c r="D15" s="2">
        <v>50</v>
      </c>
      <c r="E15">
        <v>35</v>
      </c>
      <c r="F15" s="1" t="s">
        <v>51</v>
      </c>
      <c r="G15" s="3" t="str">
        <f>LEFT(Sheet1[[#This Row],[Product ID]],6)</f>
        <v>21-AUG</v>
      </c>
      <c r="H15" s="1" t="str">
        <f>RIGHT(Sheet1[[#This Row],[Product ID]],2)</f>
        <v>CA</v>
      </c>
      <c r="I15" s="1" t="str">
        <f>_xlfn.CONCAT(Sheet1[[#This Row],[Brand Name]],"-",Sheet1[[#This Row],[Product Name]])</f>
        <v>Samsonite-Laptop Bag</v>
      </c>
    </row>
    <row r="16" spans="1:9" x14ac:dyDescent="0.35">
      <c r="A16" s="1" t="s">
        <v>52</v>
      </c>
      <c r="B16" s="1" t="s">
        <v>53</v>
      </c>
      <c r="C16" s="1" t="s">
        <v>54</v>
      </c>
      <c r="D16" s="2">
        <v>150</v>
      </c>
      <c r="E16">
        <v>15</v>
      </c>
      <c r="F16" s="1" t="s">
        <v>13</v>
      </c>
      <c r="G16" s="3" t="str">
        <f>LEFT(Sheet1[[#This Row],[Product ID]],6)</f>
        <v>01-MAR</v>
      </c>
      <c r="H16" s="1" t="str">
        <f>RIGHT(Sheet1[[#This Row],[Product ID]],2)</f>
        <v>UK</v>
      </c>
      <c r="I16" s="1" t="str">
        <f>_xlfn.CONCAT(Sheet1[[#This Row],[Brand Name]],"-",Sheet1[[#This Row],[Product Name]])</f>
        <v>Oakley-Sunglasses</v>
      </c>
    </row>
    <row r="17" spans="1:9" x14ac:dyDescent="0.35">
      <c r="A17" s="1" t="s">
        <v>55</v>
      </c>
      <c r="B17" s="1" t="s">
        <v>56</v>
      </c>
      <c r="C17" s="1" t="s">
        <v>57</v>
      </c>
      <c r="D17" s="2">
        <v>130</v>
      </c>
      <c r="E17">
        <v>10</v>
      </c>
      <c r="F17" s="1" t="s">
        <v>40</v>
      </c>
      <c r="G17" s="3" t="str">
        <f>LEFT(Sheet1[[#This Row],[Product ID]],6)</f>
        <v>14-AUG</v>
      </c>
      <c r="H17" s="1" t="str">
        <f>RIGHT(Sheet1[[#This Row],[Product ID]],2)</f>
        <v>US</v>
      </c>
      <c r="I17" s="1" t="str">
        <f>_xlfn.CONCAT(Sheet1[[#This Row],[Brand Name]],"-",Sheet1[[#This Row],[Product Name]])</f>
        <v>Coleman-Camping Tent</v>
      </c>
    </row>
    <row r="18" spans="1:9" x14ac:dyDescent="0.35">
      <c r="A18" s="1" t="s">
        <v>58</v>
      </c>
      <c r="B18" s="1" t="s">
        <v>59</v>
      </c>
      <c r="C18" s="1" t="s">
        <v>60</v>
      </c>
      <c r="D18" s="2">
        <v>700</v>
      </c>
      <c r="E18">
        <v>50</v>
      </c>
      <c r="F18" s="1" t="s">
        <v>9</v>
      </c>
      <c r="G18" s="3" t="str">
        <f>LEFT(Sheet1[[#This Row],[Product ID]],6)</f>
        <v>14-MAY</v>
      </c>
      <c r="H18" s="1" t="str">
        <f>RIGHT(Sheet1[[#This Row],[Product ID]],2)</f>
        <v>RU</v>
      </c>
      <c r="I18" s="1" t="str">
        <f>_xlfn.CONCAT(Sheet1[[#This Row],[Brand Name]],"-",Sheet1[[#This Row],[Product Name]])</f>
        <v>Nikon-Camera</v>
      </c>
    </row>
    <row r="19" spans="1:9" x14ac:dyDescent="0.35">
      <c r="A19" s="1" t="s">
        <v>61</v>
      </c>
      <c r="B19" s="1" t="s">
        <v>62</v>
      </c>
      <c r="C19" s="1" t="s">
        <v>63</v>
      </c>
      <c r="D19" s="2">
        <v>80</v>
      </c>
      <c r="E19">
        <v>20</v>
      </c>
      <c r="F19" s="1" t="s">
        <v>17</v>
      </c>
      <c r="G19" s="3" t="str">
        <f>LEFT(Sheet1[[#This Row],[Product ID]],6)</f>
        <v>09-JAN</v>
      </c>
      <c r="H19" s="1" t="str">
        <f>RIGHT(Sheet1[[#This Row],[Product ID]],2)</f>
        <v>CA</v>
      </c>
      <c r="I19" s="1" t="str">
        <f>_xlfn.CONCAT(Sheet1[[#This Row],[Brand Name]],"-",Sheet1[[#This Row],[Product Name]])</f>
        <v>Panasonic-Microwave</v>
      </c>
    </row>
    <row r="20" spans="1:9" x14ac:dyDescent="0.35">
      <c r="A20" s="1" t="s">
        <v>64</v>
      </c>
      <c r="B20" s="1" t="s">
        <v>65</v>
      </c>
      <c r="C20" s="1" t="s">
        <v>66</v>
      </c>
      <c r="D20" s="2">
        <v>150</v>
      </c>
      <c r="E20">
        <v>30</v>
      </c>
      <c r="F20" s="1" t="s">
        <v>24</v>
      </c>
      <c r="G20" s="3" t="str">
        <f>LEFT(Sheet1[[#This Row],[Product ID]],6)</f>
        <v>19-JUL</v>
      </c>
      <c r="H20" s="1" t="str">
        <f>RIGHT(Sheet1[[#This Row],[Product ID]],2)</f>
        <v>BR</v>
      </c>
      <c r="I20" s="1" t="str">
        <f>_xlfn.CONCAT(Sheet1[[#This Row],[Brand Name]],"-",Sheet1[[#This Row],[Product Name]])</f>
        <v>Xiaomi-Fitness Tracker</v>
      </c>
    </row>
    <row r="21" spans="1:9" x14ac:dyDescent="0.35">
      <c r="A21" s="1" t="s">
        <v>67</v>
      </c>
      <c r="B21" s="1" t="s">
        <v>19</v>
      </c>
      <c r="C21" s="1" t="s">
        <v>68</v>
      </c>
      <c r="D21" s="2">
        <v>800</v>
      </c>
      <c r="E21">
        <v>45</v>
      </c>
      <c r="F21" s="1" t="s">
        <v>9</v>
      </c>
      <c r="G21" s="3" t="str">
        <f>LEFT(Sheet1[[#This Row],[Product ID]],6)</f>
        <v>29-SEP</v>
      </c>
      <c r="H21" s="1" t="str">
        <f>RIGHT(Sheet1[[#This Row],[Product ID]],2)</f>
        <v>CA</v>
      </c>
      <c r="I21" s="1" t="str">
        <f>_xlfn.CONCAT(Sheet1[[#This Row],[Brand Name]],"-",Sheet1[[#This Row],[Product Name]])</f>
        <v>Google-Smartphone</v>
      </c>
    </row>
    <row r="22" spans="1:9" x14ac:dyDescent="0.35">
      <c r="A22" s="1" t="s">
        <v>69</v>
      </c>
      <c r="B22" s="1" t="s">
        <v>70</v>
      </c>
      <c r="C22" s="1" t="s">
        <v>71</v>
      </c>
      <c r="D22" s="2">
        <v>60</v>
      </c>
      <c r="E22">
        <v>30</v>
      </c>
      <c r="F22" s="1" t="s">
        <v>13</v>
      </c>
      <c r="G22" s="3" t="str">
        <f>LEFT(Sheet1[[#This Row],[Product ID]],6)</f>
        <v>07-MAR</v>
      </c>
      <c r="H22" s="1" t="str">
        <f>RIGHT(Sheet1[[#This Row],[Product ID]],2)</f>
        <v>CA</v>
      </c>
      <c r="I22" s="1" t="str">
        <f>_xlfn.CONCAT(Sheet1[[#This Row],[Brand Name]],"-",Sheet1[[#This Row],[Product Name]])</f>
        <v>Zara-Dress</v>
      </c>
    </row>
    <row r="23" spans="1:9" x14ac:dyDescent="0.35">
      <c r="A23" s="1" t="s">
        <v>72</v>
      </c>
      <c r="B23" s="1" t="s">
        <v>73</v>
      </c>
      <c r="C23" s="1" t="s">
        <v>74</v>
      </c>
      <c r="D23" s="2">
        <v>40</v>
      </c>
      <c r="E23">
        <v>10</v>
      </c>
      <c r="F23" s="1" t="s">
        <v>17</v>
      </c>
      <c r="G23" s="3" t="str">
        <f>LEFT(Sheet1[[#This Row],[Product ID]],6)</f>
        <v>13-APR</v>
      </c>
      <c r="H23" s="1" t="str">
        <f>RIGHT(Sheet1[[#This Row],[Product ID]],2)</f>
        <v>CA</v>
      </c>
      <c r="I23" s="1" t="str">
        <f>_xlfn.CONCAT(Sheet1[[#This Row],[Brand Name]],"-",Sheet1[[#This Row],[Product Name]])</f>
        <v>Hamilton-Toaster</v>
      </c>
    </row>
    <row r="24" spans="1:9" x14ac:dyDescent="0.35">
      <c r="A24" s="1" t="s">
        <v>75</v>
      </c>
      <c r="B24" s="1" t="s">
        <v>76</v>
      </c>
      <c r="C24" s="1" t="s">
        <v>77</v>
      </c>
      <c r="D24" s="2">
        <v>50</v>
      </c>
      <c r="E24">
        <v>50</v>
      </c>
      <c r="F24" s="1" t="s">
        <v>13</v>
      </c>
      <c r="G24" s="3" t="str">
        <f>LEFT(Sheet1[[#This Row],[Product ID]],6)</f>
        <v>02-DEC</v>
      </c>
      <c r="H24" s="1" t="str">
        <f>RIGHT(Sheet1[[#This Row],[Product ID]],2)</f>
        <v>CA</v>
      </c>
      <c r="I24" s="1" t="str">
        <f>_xlfn.CONCAT(Sheet1[[#This Row],[Brand Name]],"-",Sheet1[[#This Row],[Product Name]])</f>
        <v>Levi's-Jeans</v>
      </c>
    </row>
    <row r="25" spans="1:9" x14ac:dyDescent="0.35">
      <c r="A25" s="1" t="s">
        <v>78</v>
      </c>
      <c r="B25" s="1" t="s">
        <v>79</v>
      </c>
      <c r="C25" s="1" t="s">
        <v>80</v>
      </c>
      <c r="D25" s="2">
        <v>100</v>
      </c>
      <c r="E25">
        <v>20</v>
      </c>
      <c r="F25" s="1" t="s">
        <v>51</v>
      </c>
      <c r="G25" s="3" t="str">
        <f>LEFT(Sheet1[[#This Row],[Product ID]],6)</f>
        <v>09-JUL</v>
      </c>
      <c r="H25" s="1" t="str">
        <f>RIGHT(Sheet1[[#This Row],[Product ID]],2)</f>
        <v>FR</v>
      </c>
      <c r="I25" s="1" t="str">
        <f>_xlfn.CONCAT(Sheet1[[#This Row],[Brand Name]],"-",Sheet1[[#This Row],[Product Name]])</f>
        <v>Casio-Watch</v>
      </c>
    </row>
  </sheetData>
  <conditionalFormatting sqref="D1:D1048576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1:F1048576">
    <cfRule type="cellIs" dxfId="0" priority="1" operator="equal">
      <formula>"Electronics"</formula>
    </cfRule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36F396-051D-4342-8000-7AE8518470B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EC3ADD3-D087-41FF-AB19-72E94982D87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 (2)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Nymika Rajesh</dc:creator>
  <cp:lastModifiedBy>Nymika Rajesh</cp:lastModifiedBy>
  <dcterms:created xsi:type="dcterms:W3CDTF">2026-10-06T05:05:58Z</dcterms:created>
  <dcterms:modified xsi:type="dcterms:W3CDTF">2026-10-06T05:42:30Z</dcterms:modified>
</cp:coreProperties>
</file>